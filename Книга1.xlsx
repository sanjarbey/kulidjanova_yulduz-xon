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OSPanel\home\kulidjanova_yulduz-xon\"/>
    </mc:Choice>
  </mc:AlternateContent>
  <bookViews>
    <workbookView xWindow="0" yWindow="0" windowWidth="23040" windowHeight="9072" activeTab="4"/>
  </bookViews>
  <sheets>
    <sheet name="Лист1" sheetId="1" r:id="rId1"/>
    <sheet name="Лист2" sheetId="2" r:id="rId2"/>
    <sheet name="Лист4" sheetId="4" r:id="rId3"/>
    <sheet name="Лист5" sheetId="5" r:id="rId4"/>
    <sheet name="Лист6" sheetId="6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" i="2" l="1"/>
  <c r="E5" i="2"/>
  <c r="C5" i="2"/>
  <c r="E14" i="1" l="1"/>
  <c r="E13" i="1"/>
  <c r="E11" i="1"/>
  <c r="E10" i="1"/>
  <c r="E8" i="1"/>
  <c r="E7" i="1"/>
  <c r="D15" i="1"/>
  <c r="C15" i="1"/>
  <c r="E15" i="1" l="1"/>
</calcChain>
</file>

<file path=xl/sharedStrings.xml><?xml version="1.0" encoding="utf-8"?>
<sst xmlns="http://schemas.openxmlformats.org/spreadsheetml/2006/main" count="67" uniqueCount="41">
  <si>
    <t>O’quv yillari</t>
  </si>
  <si>
    <t>2021-2025 yillari</t>
  </si>
  <si>
    <t>JAMI</t>
  </si>
  <si>
    <t>Nazorat guruhi talabalar soni</t>
  </si>
  <si>
    <t>Tajriba guruhi talabalar soni</t>
  </si>
  <si>
    <t>Talabalar soni</t>
  </si>
  <si>
    <t>O’zMU</t>
  </si>
  <si>
    <t>2023-2024</t>
  </si>
  <si>
    <t>2024-2025</t>
  </si>
  <si>
    <t>TAFU</t>
  </si>
  <si>
    <t>NamDPU</t>
  </si>
  <si>
    <t>Jami</t>
  </si>
  <si>
    <t>№</t>
  </si>
  <si>
    <t xml:space="preserve">Nazorat guruhi  </t>
  </si>
  <si>
    <t xml:space="preserve">Tajriba guruhi </t>
  </si>
  <si>
    <t>O‘quv guruhlari</t>
  </si>
  <si>
    <t>To‘g‘ri
javoblar
ning o‘rtacha
soni</t>
  </si>
  <si>
    <t>O‘rtacha
kvadratli
xatolik</t>
  </si>
  <si>
    <t>Variatsiya
koeffisiyenti</t>
  </si>
  <si>
    <t>Guruh tarkibi</t>
  </si>
  <si>
    <t>Guruh</t>
  </si>
  <si>
    <t>Maruzadan keying tekshiruv</t>
  </si>
  <si>
    <t>Uch oydan keyin tekshiruv</t>
  </si>
  <si>
    <t xml:space="preserve">To‘g‘ri javoblarning o‘rtacha soni </t>
  </si>
  <si>
    <t>m</t>
  </si>
  <si>
    <t xml:space="preserve">O‘rtacha kvadratik xatolik </t>
  </si>
  <si>
    <t>y</t>
  </si>
  <si>
    <t xml:space="preserve">Ma’lum ishonchlilik chegarasi kengligi </t>
  </si>
  <si>
    <t>D</t>
  </si>
  <si>
    <t>O‘zlashtirishi past talabalar</t>
  </si>
  <si>
    <t>N</t>
  </si>
  <si>
    <t>T</t>
  </si>
  <si>
    <t>O‘zlashtirishi yuqori talabalar</t>
  </si>
  <si>
    <t>Nisbiy samaradorlik koeffitsenti</t>
  </si>
  <si>
    <t>Qabul qilish</t>
  </si>
  <si>
    <t>O’zlashtirish</t>
  </si>
  <si>
    <t>Eslab qolish mustahkamligi</t>
  </si>
  <si>
    <t>O‘zlashti-rishi past</t>
  </si>
  <si>
    <t>O‘zlashti-rishi yuqori</t>
  </si>
  <si>
    <t>O‘zlashtirishi past</t>
  </si>
  <si>
    <t>O‘zlashtirishi yuqori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</si>
</sst>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 textRotation="90" wrapText="1"/>
    </xf>
    <xf numFmtId="0" fontId="3" fillId="0" borderId="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textRotation="90" wrapText="1"/>
    </xf>
    <xf numFmtId="0" fontId="1" fillId="0" borderId="8" xfId="0" applyFont="1" applyBorder="1" applyAlignment="1">
      <alignment horizontal="center" vertical="center" textRotation="90" wrapText="1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0" fillId="0" borderId="7" xfId="0" applyBorder="1"/>
    <xf numFmtId="0" fontId="0" fillId="0" borderId="7" xfId="0" applyBorder="1" applyAlignment="1">
      <alignment horizontal="center" wrapText="1"/>
    </xf>
    <xf numFmtId="0" fontId="0" fillId="0" borderId="7" xfId="0" applyBorder="1" applyAlignment="1">
      <alignment horizontal="center"/>
    </xf>
    <xf numFmtId="0" fontId="1" fillId="0" borderId="7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Nisbiy samaradorlik koeffitsenti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Лист5!$C$18</c:f>
              <c:strCache>
                <c:ptCount val="1"/>
                <c:pt idx="0">
                  <c:v>O‘zlashtirishi past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Лист5!$B$19:$B$21</c:f>
              <c:strCache>
                <c:ptCount val="3"/>
                <c:pt idx="0">
                  <c:v>Qabul qilish</c:v>
                </c:pt>
                <c:pt idx="1">
                  <c:v>O’zlashtirish</c:v>
                </c:pt>
                <c:pt idx="2">
                  <c:v>Eslab qolish mustahkamligi</c:v>
                </c:pt>
              </c:strCache>
            </c:strRef>
          </c:cat>
          <c:val>
            <c:numRef>
              <c:f>Лист5!$C$19:$C$21</c:f>
              <c:numCache>
                <c:formatCode>General</c:formatCode>
                <c:ptCount val="3"/>
                <c:pt idx="0">
                  <c:v>1.36</c:v>
                </c:pt>
                <c:pt idx="1">
                  <c:v>1.27</c:v>
                </c:pt>
                <c:pt idx="2">
                  <c:v>1.36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64-4E5C-9039-6E34970B2DF4}"/>
            </c:ext>
          </c:extLst>
        </c:ser>
        <c:ser>
          <c:idx val="2"/>
          <c:order val="2"/>
          <c:tx>
            <c:strRef>
              <c:f>Лист5!$E$18</c:f>
              <c:strCache>
                <c:ptCount val="1"/>
                <c:pt idx="0">
                  <c:v>O‘zlashtirishi yuqori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Лист5!$B$19:$B$21</c:f>
              <c:strCache>
                <c:ptCount val="3"/>
                <c:pt idx="0">
                  <c:v>Qabul qilish</c:v>
                </c:pt>
                <c:pt idx="1">
                  <c:v>O’zlashtirish</c:v>
                </c:pt>
                <c:pt idx="2">
                  <c:v>Eslab qolish mustahkamligi</c:v>
                </c:pt>
              </c:strCache>
            </c:strRef>
          </c:cat>
          <c:val>
            <c:numRef>
              <c:f>Лист5!$E$19:$E$21</c:f>
              <c:numCache>
                <c:formatCode>General</c:formatCode>
                <c:ptCount val="3"/>
                <c:pt idx="0">
                  <c:v>1.31</c:v>
                </c:pt>
                <c:pt idx="1">
                  <c:v>1.24</c:v>
                </c:pt>
                <c:pt idx="2">
                  <c:v>1.33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64-4E5C-9039-6E34970B2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95033680"/>
        <c:axId val="395038672"/>
        <c:axId val="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Лист5!$D$18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Лист5!$B$19:$B$21</c15:sqref>
                        </c15:formulaRef>
                      </c:ext>
                    </c:extLst>
                    <c:strCache>
                      <c:ptCount val="3"/>
                      <c:pt idx="0">
                        <c:v>Qabul qilish</c:v>
                      </c:pt>
                      <c:pt idx="1">
                        <c:v>O’zlashtirish</c:v>
                      </c:pt>
                      <c:pt idx="2">
                        <c:v>Eslab qolish mustahkamligi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Лист5!$D$19:$D$21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0.83</c:v>
                      </c:pt>
                      <c:pt idx="1">
                        <c:v>0.98</c:v>
                      </c:pt>
                      <c:pt idx="2">
                        <c:v>0.84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A364-4E5C-9039-6E34970B2DF4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Лист5!$F$18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  <a:sp3d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Лист5!$B$19:$B$21</c15:sqref>
                        </c15:formulaRef>
                      </c:ext>
                    </c:extLst>
                    <c:strCache>
                      <c:ptCount val="3"/>
                      <c:pt idx="0">
                        <c:v>Qabul qilish</c:v>
                      </c:pt>
                      <c:pt idx="1">
                        <c:v>O’zlashtirish</c:v>
                      </c:pt>
                      <c:pt idx="2">
                        <c:v>Eslab qolish mustahkamligi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Лист5!$F$19:$F$21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0.66</c:v>
                      </c:pt>
                      <c:pt idx="1">
                        <c:v>0.66</c:v>
                      </c:pt>
                      <c:pt idx="2">
                        <c:v>0.75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A364-4E5C-9039-6E34970B2DF4}"/>
                  </c:ext>
                </c:extLst>
              </c15:ser>
            </c15:filteredBarSeries>
          </c:ext>
        </c:extLst>
      </c:bar3DChart>
      <c:catAx>
        <c:axId val="395033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95038672"/>
        <c:crosses val="autoZero"/>
        <c:auto val="1"/>
        <c:lblAlgn val="ctr"/>
        <c:lblOffset val="100"/>
        <c:noMultiLvlLbl val="0"/>
      </c:catAx>
      <c:valAx>
        <c:axId val="39503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9503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wmf"/><Relationship Id="rId2" Type="http://schemas.openxmlformats.org/officeDocument/2006/relationships/image" Target="../media/image2.wmf"/><Relationship Id="rId1" Type="http://schemas.openxmlformats.org/officeDocument/2006/relationships/image" Target="../media/image1.wmf"/><Relationship Id="rId6" Type="http://schemas.openxmlformats.org/officeDocument/2006/relationships/image" Target="../media/image6.wmf"/><Relationship Id="rId5" Type="http://schemas.openxmlformats.org/officeDocument/2006/relationships/image" Target="../media/image5.wmf"/><Relationship Id="rId4" Type="http://schemas.openxmlformats.org/officeDocument/2006/relationships/image" Target="../media/image4.w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</xdr:row>
          <xdr:rowOff>0</xdr:rowOff>
        </xdr:from>
        <xdr:to>
          <xdr:col>2</xdr:col>
          <xdr:colOff>0</xdr:colOff>
          <xdr:row>2</xdr:row>
          <xdr:rowOff>613410</xdr:rowOff>
        </xdr:to>
        <xdr:sp macro="" textlink="">
          <xdr:nvSpPr>
            <xdr:cNvPr id="4102" name="Object 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106680</xdr:colOff>
          <xdr:row>2</xdr:row>
          <xdr:rowOff>53340</xdr:rowOff>
        </xdr:from>
        <xdr:to>
          <xdr:col>2</xdr:col>
          <xdr:colOff>1074420</xdr:colOff>
          <xdr:row>2</xdr:row>
          <xdr:rowOff>730879</xdr:rowOff>
        </xdr:to>
        <xdr:sp macro="" textlink="">
          <xdr:nvSpPr>
            <xdr:cNvPr id="4101" name="Object 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</xdr:row>
          <xdr:rowOff>1</xdr:rowOff>
        </xdr:from>
        <xdr:to>
          <xdr:col>3</xdr:col>
          <xdr:colOff>1135380</xdr:colOff>
          <xdr:row>2</xdr:row>
          <xdr:rowOff>673971</xdr:rowOff>
        </xdr:to>
        <xdr:sp macro="" textlink="">
          <xdr:nvSpPr>
            <xdr:cNvPr id="4100" name="Object 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2</xdr:row>
          <xdr:rowOff>0</xdr:rowOff>
        </xdr:from>
        <xdr:to>
          <xdr:col>4</xdr:col>
          <xdr:colOff>944880</xdr:colOff>
          <xdr:row>2</xdr:row>
          <xdr:rowOff>732183</xdr:rowOff>
        </xdr:to>
        <xdr:sp macro="" textlink="">
          <xdr:nvSpPr>
            <xdr:cNvPr id="4099" name="Object 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2</xdr:row>
          <xdr:rowOff>0</xdr:rowOff>
        </xdr:from>
        <xdr:to>
          <xdr:col>5</xdr:col>
          <xdr:colOff>1013460</xdr:colOff>
          <xdr:row>2</xdr:row>
          <xdr:rowOff>676780</xdr:rowOff>
        </xdr:to>
        <xdr:sp macro="" textlink="">
          <xdr:nvSpPr>
            <xdr:cNvPr id="4098" name="Object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2</xdr:row>
          <xdr:rowOff>0</xdr:rowOff>
        </xdr:from>
        <xdr:to>
          <xdr:col>6</xdr:col>
          <xdr:colOff>868680</xdr:colOff>
          <xdr:row>2</xdr:row>
          <xdr:rowOff>752696</xdr:rowOff>
        </xdr:to>
        <xdr:sp macro="" textlink="">
          <xdr:nvSpPr>
            <xdr:cNvPr id="4097" name="Object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xdr:twoCellAnchor>
    <xdr:from>
      <xdr:col>8</xdr:col>
      <xdr:colOff>87085</xdr:colOff>
      <xdr:row>4</xdr:row>
      <xdr:rowOff>484414</xdr:rowOff>
    </xdr:from>
    <xdr:to>
      <xdr:col>15</xdr:col>
      <xdr:colOff>391885</xdr:colOff>
      <xdr:row>12</xdr:row>
      <xdr:rowOff>375557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wmf"/><Relationship Id="rId13" Type="http://schemas.openxmlformats.org/officeDocument/2006/relationships/oleObject" Target="../embeddings/oleObject6.bin"/><Relationship Id="rId3" Type="http://schemas.openxmlformats.org/officeDocument/2006/relationships/oleObject" Target="../embeddings/oleObject1.bin"/><Relationship Id="rId7" Type="http://schemas.openxmlformats.org/officeDocument/2006/relationships/oleObject" Target="../embeddings/oleObject3.bin"/><Relationship Id="rId12" Type="http://schemas.openxmlformats.org/officeDocument/2006/relationships/image" Target="../media/image5.wmf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image" Target="../media/image2.wmf"/><Relationship Id="rId11" Type="http://schemas.openxmlformats.org/officeDocument/2006/relationships/oleObject" Target="../embeddings/oleObject5.bin"/><Relationship Id="rId5" Type="http://schemas.openxmlformats.org/officeDocument/2006/relationships/oleObject" Target="../embeddings/oleObject2.bin"/><Relationship Id="rId10" Type="http://schemas.openxmlformats.org/officeDocument/2006/relationships/image" Target="../media/image4.wmf"/><Relationship Id="rId4" Type="http://schemas.openxmlformats.org/officeDocument/2006/relationships/image" Target="../media/image1.wmf"/><Relationship Id="rId9" Type="http://schemas.openxmlformats.org/officeDocument/2006/relationships/oleObject" Target="../embeddings/oleObject4.bin"/><Relationship Id="rId14" Type="http://schemas.openxmlformats.org/officeDocument/2006/relationships/image" Target="../media/image6.w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E15"/>
  <sheetViews>
    <sheetView workbookViewId="0">
      <selection activeCell="D5" sqref="D5"/>
    </sheetView>
  </sheetViews>
  <sheetFormatPr defaultRowHeight="14.4" x14ac:dyDescent="0.3"/>
  <cols>
    <col min="3" max="3" width="20.33203125" customWidth="1"/>
    <col min="4" max="4" width="21.44140625" customWidth="1"/>
    <col min="5" max="5" width="19.6640625" customWidth="1"/>
  </cols>
  <sheetData>
    <row r="3" spans="2:5" ht="15" thickBot="1" x14ac:dyDescent="0.35"/>
    <row r="4" spans="2:5" ht="36" customHeight="1" thickBot="1" x14ac:dyDescent="0.35">
      <c r="B4" s="5" t="s">
        <v>0</v>
      </c>
      <c r="C4" s="7" t="s">
        <v>1</v>
      </c>
      <c r="D4" s="8"/>
      <c r="E4" s="1" t="s">
        <v>2</v>
      </c>
    </row>
    <row r="5" spans="2:5" ht="36.6" thickBot="1" x14ac:dyDescent="0.35">
      <c r="B5" s="6"/>
      <c r="C5" s="2" t="s">
        <v>3</v>
      </c>
      <c r="D5" s="2" t="s">
        <v>4</v>
      </c>
      <c r="E5" s="2" t="s">
        <v>5</v>
      </c>
    </row>
    <row r="6" spans="2:5" ht="42.6" customHeight="1" thickBot="1" x14ac:dyDescent="0.35">
      <c r="B6" s="7" t="s">
        <v>6</v>
      </c>
      <c r="C6" s="9"/>
      <c r="D6" s="9"/>
      <c r="E6" s="8"/>
    </row>
    <row r="7" spans="2:5" ht="36.6" thickBot="1" x14ac:dyDescent="0.35">
      <c r="B7" s="3" t="s">
        <v>7</v>
      </c>
      <c r="C7" s="2">
        <v>29</v>
      </c>
      <c r="D7" s="2">
        <v>31</v>
      </c>
      <c r="E7" s="2">
        <f>C7+D7</f>
        <v>60</v>
      </c>
    </row>
    <row r="8" spans="2:5" ht="36.6" thickBot="1" x14ac:dyDescent="0.35">
      <c r="B8" s="3" t="s">
        <v>8</v>
      </c>
      <c r="C8" s="2">
        <v>32</v>
      </c>
      <c r="D8" s="2">
        <v>34</v>
      </c>
      <c r="E8" s="2">
        <f>C8+D8</f>
        <v>66</v>
      </c>
    </row>
    <row r="9" spans="2:5" ht="48" customHeight="1" thickBot="1" x14ac:dyDescent="0.35">
      <c r="B9" s="7" t="s">
        <v>9</v>
      </c>
      <c r="C9" s="9"/>
      <c r="D9" s="9"/>
      <c r="E9" s="8"/>
    </row>
    <row r="10" spans="2:5" ht="36.6" thickBot="1" x14ac:dyDescent="0.35">
      <c r="B10" s="3" t="s">
        <v>7</v>
      </c>
      <c r="C10" s="2">
        <v>32</v>
      </c>
      <c r="D10" s="2">
        <v>29</v>
      </c>
      <c r="E10" s="2">
        <f>D10+C10</f>
        <v>61</v>
      </c>
    </row>
    <row r="11" spans="2:5" ht="48.6" customHeight="1" thickBot="1" x14ac:dyDescent="0.35">
      <c r="B11" s="3" t="s">
        <v>8</v>
      </c>
      <c r="C11" s="2">
        <v>33</v>
      </c>
      <c r="D11" s="2">
        <v>36</v>
      </c>
      <c r="E11" s="2">
        <f>D11+C11</f>
        <v>69</v>
      </c>
    </row>
    <row r="12" spans="2:5" ht="34.200000000000003" customHeight="1" thickBot="1" x14ac:dyDescent="0.35">
      <c r="B12" s="7" t="s">
        <v>10</v>
      </c>
      <c r="C12" s="9"/>
      <c r="D12" s="9"/>
      <c r="E12" s="8"/>
    </row>
    <row r="13" spans="2:5" ht="36.6" thickBot="1" x14ac:dyDescent="0.35">
      <c r="B13" s="3" t="s">
        <v>7</v>
      </c>
      <c r="C13" s="2">
        <v>30</v>
      </c>
      <c r="D13" s="2">
        <v>32</v>
      </c>
      <c r="E13" s="2">
        <f>D13+C13</f>
        <v>62</v>
      </c>
    </row>
    <row r="14" spans="2:5" ht="36.6" thickBot="1" x14ac:dyDescent="0.35">
      <c r="B14" s="3" t="s">
        <v>8</v>
      </c>
      <c r="C14" s="2">
        <v>29</v>
      </c>
      <c r="D14" s="2">
        <v>33</v>
      </c>
      <c r="E14" s="2">
        <f>D14+C14</f>
        <v>62</v>
      </c>
    </row>
    <row r="15" spans="2:5" ht="18.600000000000001" thickBot="1" x14ac:dyDescent="0.35">
      <c r="B15" s="3" t="s">
        <v>11</v>
      </c>
      <c r="C15" s="2">
        <f>C14+C13+C11+C10+C8+C7</f>
        <v>185</v>
      </c>
      <c r="D15" s="2">
        <f>D14+D13+D11+D10+D8+D7</f>
        <v>195</v>
      </c>
      <c r="E15" s="2">
        <f>E13+E14+E11+E10+E8+E7</f>
        <v>380</v>
      </c>
    </row>
  </sheetData>
  <mergeCells count="5">
    <mergeCell ref="B4:B5"/>
    <mergeCell ref="C4:D4"/>
    <mergeCell ref="B6:E6"/>
    <mergeCell ref="B9:E9"/>
    <mergeCell ref="B12:E12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zoomScaleNormal="100" workbookViewId="0">
      <selection sqref="A1:E3"/>
    </sheetView>
  </sheetViews>
  <sheetFormatPr defaultRowHeight="14.4" x14ac:dyDescent="0.3"/>
  <cols>
    <col min="1" max="1" width="8.88671875" customWidth="1"/>
    <col min="2" max="2" width="21.5546875" customWidth="1"/>
    <col min="3" max="3" width="18.6640625" customWidth="1"/>
    <col min="4" max="4" width="20.77734375" customWidth="1"/>
    <col min="5" max="5" width="23.6640625" customWidth="1"/>
  </cols>
  <sheetData>
    <row r="1" spans="1:5" ht="72" x14ac:dyDescent="0.3">
      <c r="A1" s="10" t="s">
        <v>12</v>
      </c>
      <c r="B1" s="10" t="s">
        <v>15</v>
      </c>
      <c r="C1" s="10" t="s">
        <v>16</v>
      </c>
      <c r="D1" s="10" t="s">
        <v>17</v>
      </c>
      <c r="E1" s="10" t="s">
        <v>18</v>
      </c>
    </row>
    <row r="2" spans="1:5" ht="18" x14ac:dyDescent="0.3">
      <c r="A2" s="10">
        <v>1</v>
      </c>
      <c r="B2" s="10" t="s">
        <v>13</v>
      </c>
      <c r="C2" s="10">
        <v>5.21</v>
      </c>
      <c r="D2" s="10">
        <v>4.6500000000000004</v>
      </c>
      <c r="E2" s="10">
        <v>88.2</v>
      </c>
    </row>
    <row r="3" spans="1:5" ht="18" x14ac:dyDescent="0.3">
      <c r="A3" s="10">
        <v>2</v>
      </c>
      <c r="B3" s="10" t="s">
        <v>14</v>
      </c>
      <c r="C3" s="10">
        <v>8.33</v>
      </c>
      <c r="D3" s="10">
        <v>4.0599999999999996</v>
      </c>
      <c r="E3" s="10">
        <v>42.5</v>
      </c>
    </row>
    <row r="5" spans="1:5" x14ac:dyDescent="0.3">
      <c r="C5" s="11">
        <f>C3/C2</f>
        <v>1.5988483685220729</v>
      </c>
      <c r="D5" s="11">
        <f t="shared" ref="D5:E5" si="0">D3/D2</f>
        <v>0.8731182795698923</v>
      </c>
      <c r="E5" s="11">
        <f t="shared" si="0"/>
        <v>0.48185941043083896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H9" sqref="H9"/>
    </sheetView>
  </sheetViews>
  <sheetFormatPr defaultRowHeight="14.4" x14ac:dyDescent="0.3"/>
  <sheetData>
    <row r="1" spans="1:8" ht="42" thickBot="1" x14ac:dyDescent="0.35">
      <c r="A1" s="15" t="s">
        <v>19</v>
      </c>
      <c r="B1" s="12" t="s">
        <v>20</v>
      </c>
      <c r="C1" s="7" t="s">
        <v>21</v>
      </c>
      <c r="D1" s="9"/>
      <c r="E1" s="8"/>
      <c r="F1" s="7" t="s">
        <v>22</v>
      </c>
      <c r="G1" s="9"/>
      <c r="H1" s="8"/>
    </row>
    <row r="2" spans="1:8" ht="93.6" x14ac:dyDescent="0.3">
      <c r="A2" s="16"/>
      <c r="B2" s="5"/>
      <c r="C2" s="13" t="s">
        <v>23</v>
      </c>
      <c r="D2" s="13" t="s">
        <v>25</v>
      </c>
      <c r="E2" s="13" t="s">
        <v>27</v>
      </c>
      <c r="F2" s="13" t="s">
        <v>23</v>
      </c>
      <c r="G2" s="13" t="s">
        <v>25</v>
      </c>
      <c r="H2" s="13" t="s">
        <v>27</v>
      </c>
    </row>
    <row r="3" spans="1:8" ht="16.8" thickBot="1" x14ac:dyDescent="0.35">
      <c r="A3" s="17"/>
      <c r="B3" s="6"/>
      <c r="C3" s="14" t="s">
        <v>24</v>
      </c>
      <c r="D3" s="14" t="s">
        <v>26</v>
      </c>
      <c r="E3" s="14" t="s">
        <v>28</v>
      </c>
      <c r="F3" s="14" t="s">
        <v>24</v>
      </c>
      <c r="G3" s="14" t="s">
        <v>26</v>
      </c>
      <c r="H3" s="14" t="s">
        <v>28</v>
      </c>
    </row>
    <row r="4" spans="1:8" ht="71.400000000000006" customHeight="1" thickBot="1" x14ac:dyDescent="0.35">
      <c r="A4" s="15" t="s">
        <v>29</v>
      </c>
      <c r="B4" s="2" t="s">
        <v>30</v>
      </c>
      <c r="C4" s="2">
        <v>5.5</v>
      </c>
      <c r="D4" s="2">
        <v>2.9</v>
      </c>
      <c r="E4" s="2">
        <v>0.89</v>
      </c>
      <c r="F4" s="2">
        <v>6</v>
      </c>
      <c r="G4" s="2">
        <v>2.54</v>
      </c>
      <c r="H4" s="2">
        <v>0.89</v>
      </c>
    </row>
    <row r="5" spans="1:8" ht="18.600000000000001" thickBot="1" x14ac:dyDescent="0.35">
      <c r="A5" s="17"/>
      <c r="B5" s="2" t="s">
        <v>31</v>
      </c>
      <c r="C5" s="2">
        <v>7.3</v>
      </c>
      <c r="D5" s="2">
        <v>2.5</v>
      </c>
      <c r="E5" s="2">
        <v>0.75</v>
      </c>
      <c r="F5" s="2">
        <v>8</v>
      </c>
      <c r="G5" s="2">
        <v>2.27</v>
      </c>
      <c r="H5" s="2">
        <v>0.71</v>
      </c>
    </row>
    <row r="6" spans="1:8" ht="71.400000000000006" customHeight="1" thickBot="1" x14ac:dyDescent="0.35">
      <c r="A6" s="15" t="s">
        <v>32</v>
      </c>
      <c r="B6" s="2" t="s">
        <v>30</v>
      </c>
      <c r="C6" s="2">
        <v>6.4</v>
      </c>
      <c r="D6" s="2">
        <v>2.78</v>
      </c>
      <c r="E6" s="2">
        <v>0.91</v>
      </c>
      <c r="F6" s="2">
        <v>6.6</v>
      </c>
      <c r="G6" s="2">
        <v>2.31</v>
      </c>
      <c r="H6" s="2">
        <v>0.76</v>
      </c>
    </row>
    <row r="7" spans="1:8" ht="18.600000000000001" thickBot="1" x14ac:dyDescent="0.35">
      <c r="A7" s="17"/>
      <c r="B7" s="2" t="s">
        <v>31</v>
      </c>
      <c r="C7" s="2">
        <v>8.1999999999999993</v>
      </c>
      <c r="D7" s="2">
        <v>1.78</v>
      </c>
      <c r="E7" s="2">
        <v>0.56999999999999995</v>
      </c>
      <c r="F7" s="2">
        <v>8.6</v>
      </c>
      <c r="G7" s="2">
        <v>1.69</v>
      </c>
      <c r="H7" s="2">
        <v>0.56000000000000005</v>
      </c>
    </row>
  </sheetData>
  <mergeCells count="6">
    <mergeCell ref="A1:A3"/>
    <mergeCell ref="C1:E1"/>
    <mergeCell ref="F1:H1"/>
    <mergeCell ref="B2:B3"/>
    <mergeCell ref="A4:A5"/>
    <mergeCell ref="A6:A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36"/>
  <sheetViews>
    <sheetView zoomScale="70" zoomScaleNormal="70" workbookViewId="0">
      <selection activeCell="V8" sqref="V8"/>
    </sheetView>
  </sheetViews>
  <sheetFormatPr defaultRowHeight="14.4" x14ac:dyDescent="0.3"/>
  <cols>
    <col min="1" max="1" width="9.5546875" customWidth="1"/>
    <col min="2" max="2" width="16.21875" customWidth="1"/>
    <col min="3" max="3" width="16.6640625" customWidth="1"/>
    <col min="4" max="4" width="17.21875" customWidth="1"/>
    <col min="5" max="5" width="16.33203125" customWidth="1"/>
    <col min="6" max="6" width="17.33203125" customWidth="1"/>
    <col min="7" max="7" width="13.5546875" customWidth="1"/>
  </cols>
  <sheetData>
    <row r="1" spans="1:7" ht="18.600000000000001" thickBot="1" x14ac:dyDescent="0.35">
      <c r="A1" s="5" t="s">
        <v>19</v>
      </c>
      <c r="B1" s="7" t="s">
        <v>33</v>
      </c>
      <c r="C1" s="9"/>
      <c r="D1" s="9"/>
      <c r="E1" s="9"/>
      <c r="F1" s="9"/>
      <c r="G1" s="8"/>
    </row>
    <row r="2" spans="1:7" ht="34.799999999999997" customHeight="1" thickBot="1" x14ac:dyDescent="0.35">
      <c r="A2" s="19"/>
      <c r="B2" s="7" t="s">
        <v>34</v>
      </c>
      <c r="C2" s="8"/>
      <c r="D2" s="7" t="s">
        <v>35</v>
      </c>
      <c r="E2" s="8"/>
      <c r="F2" s="7" t="s">
        <v>36</v>
      </c>
      <c r="G2" s="8"/>
    </row>
    <row r="3" spans="1:7" ht="56.4" customHeight="1" thickBot="1" x14ac:dyDescent="0.35">
      <c r="A3" s="6"/>
      <c r="B3" s="18"/>
      <c r="C3" s="18"/>
      <c r="D3" s="18"/>
      <c r="E3" s="18"/>
      <c r="F3" s="18"/>
      <c r="G3" s="18"/>
    </row>
    <row r="4" spans="1:7" ht="54.6" thickBot="1" x14ac:dyDescent="0.35">
      <c r="A4" s="4" t="s">
        <v>37</v>
      </c>
      <c r="B4" s="2">
        <v>1.36</v>
      </c>
      <c r="C4" s="2">
        <v>0.83</v>
      </c>
      <c r="D4" s="2">
        <v>1.27</v>
      </c>
      <c r="E4" s="2">
        <v>0.98</v>
      </c>
      <c r="F4" s="2">
        <v>1.36</v>
      </c>
      <c r="G4" s="2">
        <v>0.84</v>
      </c>
    </row>
    <row r="5" spans="1:7" ht="54.6" thickBot="1" x14ac:dyDescent="0.35">
      <c r="A5" s="4" t="s">
        <v>38</v>
      </c>
      <c r="B5" s="2">
        <v>1.31</v>
      </c>
      <c r="C5" s="2">
        <v>0.66</v>
      </c>
      <c r="D5" s="2">
        <v>1.24</v>
      </c>
      <c r="E5" s="2">
        <v>0.66</v>
      </c>
      <c r="F5" s="2">
        <v>1.33</v>
      </c>
      <c r="G5" s="2">
        <v>0.75</v>
      </c>
    </row>
    <row r="9" spans="1:7" ht="15" thickBot="1" x14ac:dyDescent="0.35"/>
    <row r="10" spans="1:7" ht="36.6" customHeight="1" thickBot="1" x14ac:dyDescent="0.35">
      <c r="A10" s="20" t="s">
        <v>19</v>
      </c>
      <c r="B10" s="7" t="s">
        <v>33</v>
      </c>
      <c r="C10" s="9"/>
      <c r="D10" s="9"/>
      <c r="E10" s="9"/>
      <c r="F10" s="9"/>
      <c r="G10" s="8"/>
    </row>
    <row r="11" spans="1:7" ht="18.600000000000001" thickBot="1" x14ac:dyDescent="0.35">
      <c r="A11" s="21"/>
      <c r="B11" s="7" t="s">
        <v>34</v>
      </c>
      <c r="C11" s="8"/>
      <c r="D11" s="7" t="s">
        <v>35</v>
      </c>
      <c r="E11" s="8"/>
      <c r="F11" s="7" t="s">
        <v>36</v>
      </c>
      <c r="G11" s="8"/>
    </row>
    <row r="12" spans="1:7" ht="54.6" thickBot="1" x14ac:dyDescent="0.35">
      <c r="A12" s="4" t="s">
        <v>37</v>
      </c>
      <c r="B12" s="2">
        <v>1.36</v>
      </c>
      <c r="C12" s="2">
        <v>0.83</v>
      </c>
      <c r="D12" s="2">
        <v>1.27</v>
      </c>
      <c r="E12" s="2">
        <v>0.98</v>
      </c>
      <c r="F12" s="2">
        <v>1.36</v>
      </c>
      <c r="G12" s="2">
        <v>0.84</v>
      </c>
    </row>
    <row r="13" spans="1:7" ht="54.6" thickBot="1" x14ac:dyDescent="0.35">
      <c r="A13" s="4" t="s">
        <v>38</v>
      </c>
      <c r="B13" s="2">
        <v>1.31</v>
      </c>
      <c r="C13" s="2">
        <v>0.66</v>
      </c>
      <c r="D13" s="2">
        <v>1.24</v>
      </c>
      <c r="E13" s="2">
        <v>0.66</v>
      </c>
      <c r="F13" s="2">
        <v>1.33</v>
      </c>
      <c r="G13" s="2">
        <v>0.75</v>
      </c>
    </row>
    <row r="14" spans="1:7" ht="18" x14ac:dyDescent="0.3">
      <c r="A14" s="22"/>
      <c r="B14" s="22"/>
      <c r="C14" s="22"/>
      <c r="D14" s="22"/>
      <c r="E14" s="22"/>
      <c r="F14" s="22"/>
      <c r="G14" s="22"/>
    </row>
    <row r="15" spans="1:7" ht="18" x14ac:dyDescent="0.3">
      <c r="A15" s="22"/>
      <c r="B15" s="22"/>
      <c r="C15" s="22"/>
      <c r="D15" s="22"/>
      <c r="E15" s="22"/>
      <c r="F15" s="22"/>
      <c r="G15" s="22"/>
    </row>
    <row r="16" spans="1:7" ht="18" x14ac:dyDescent="0.3">
      <c r="A16" s="22"/>
      <c r="B16" s="22"/>
      <c r="C16" s="22"/>
      <c r="D16" s="22"/>
      <c r="E16" s="22"/>
      <c r="F16" s="22"/>
      <c r="G16" s="22"/>
    </row>
    <row r="17" spans="1:7" ht="18" x14ac:dyDescent="0.3">
      <c r="A17" s="22"/>
      <c r="B17" s="22"/>
      <c r="C17" s="22"/>
      <c r="D17" s="22"/>
      <c r="E17" s="22"/>
      <c r="F17" s="22"/>
      <c r="G17" s="22"/>
    </row>
    <row r="18" spans="1:7" x14ac:dyDescent="0.3">
      <c r="A18" s="23"/>
      <c r="B18" s="23"/>
      <c r="C18" s="24" t="s">
        <v>39</v>
      </c>
      <c r="D18" s="24"/>
      <c r="E18" s="25" t="s">
        <v>40</v>
      </c>
      <c r="F18" s="25"/>
    </row>
    <row r="19" spans="1:7" ht="18" customHeight="1" x14ac:dyDescent="0.3">
      <c r="A19" s="27" t="s">
        <v>34</v>
      </c>
      <c r="B19" s="27" t="s">
        <v>34</v>
      </c>
      <c r="C19" s="26">
        <v>1.36</v>
      </c>
      <c r="D19" s="26">
        <v>0.83</v>
      </c>
      <c r="E19" s="26">
        <v>1.31</v>
      </c>
      <c r="F19" s="26">
        <v>0.66</v>
      </c>
    </row>
    <row r="20" spans="1:7" ht="18" customHeight="1" x14ac:dyDescent="0.3">
      <c r="A20" s="27" t="s">
        <v>35</v>
      </c>
      <c r="B20" s="27" t="s">
        <v>35</v>
      </c>
      <c r="C20" s="26">
        <v>1.27</v>
      </c>
      <c r="D20" s="26">
        <v>0.98</v>
      </c>
      <c r="E20" s="26">
        <v>1.24</v>
      </c>
      <c r="F20" s="26">
        <v>0.66</v>
      </c>
    </row>
    <row r="21" spans="1:7" ht="18" customHeight="1" x14ac:dyDescent="0.3">
      <c r="A21" s="27" t="s">
        <v>36</v>
      </c>
      <c r="B21" s="27" t="s">
        <v>36</v>
      </c>
      <c r="C21" s="26">
        <v>1.36</v>
      </c>
      <c r="D21" s="26">
        <v>0.84</v>
      </c>
      <c r="E21" s="26">
        <v>1.33</v>
      </c>
      <c r="F21" s="26">
        <v>0.75</v>
      </c>
    </row>
    <row r="35" ht="36" customHeight="1" x14ac:dyDescent="0.3"/>
    <row r="36" ht="64.2" customHeight="1" x14ac:dyDescent="0.3"/>
  </sheetData>
  <mergeCells count="11">
    <mergeCell ref="E18:F18"/>
    <mergeCell ref="C18:D18"/>
    <mergeCell ref="B11:C11"/>
    <mergeCell ref="D11:E11"/>
    <mergeCell ref="F11:G11"/>
    <mergeCell ref="A1:A3"/>
    <mergeCell ref="B1:G1"/>
    <mergeCell ref="B2:C2"/>
    <mergeCell ref="D2:E2"/>
    <mergeCell ref="F2:G2"/>
    <mergeCell ref="B10:G10"/>
  </mergeCells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Equation.3" shapeId="4102" r:id="rId3">
          <objectPr defaultSize="0" autoPict="0" r:id="rId4">
            <anchor moveWithCells="1" sizeWithCells="1">
              <from>
                <xdr:col>1</xdr:col>
                <xdr:colOff>0</xdr:colOff>
                <xdr:row>2</xdr:row>
                <xdr:rowOff>0</xdr:rowOff>
              </from>
              <to>
                <xdr:col>2</xdr:col>
                <xdr:colOff>0</xdr:colOff>
                <xdr:row>2</xdr:row>
                <xdr:rowOff>617220</xdr:rowOff>
              </to>
            </anchor>
          </objectPr>
        </oleObject>
      </mc:Choice>
      <mc:Fallback>
        <oleObject progId="Equation.3" shapeId="4102" r:id="rId3"/>
      </mc:Fallback>
    </mc:AlternateContent>
    <mc:AlternateContent xmlns:mc="http://schemas.openxmlformats.org/markup-compatibility/2006">
      <mc:Choice Requires="x14">
        <oleObject progId="Equation.3" shapeId="4101" r:id="rId5">
          <objectPr defaultSize="0" autoPict="0" r:id="rId6">
            <anchor moveWithCells="1" sizeWithCells="1">
              <from>
                <xdr:col>2</xdr:col>
                <xdr:colOff>106680</xdr:colOff>
                <xdr:row>2</xdr:row>
                <xdr:rowOff>53340</xdr:rowOff>
              </from>
              <to>
                <xdr:col>2</xdr:col>
                <xdr:colOff>1074420</xdr:colOff>
                <xdr:row>2</xdr:row>
                <xdr:rowOff>731520</xdr:rowOff>
              </to>
            </anchor>
          </objectPr>
        </oleObject>
      </mc:Choice>
      <mc:Fallback>
        <oleObject progId="Equation.3" shapeId="4101" r:id="rId5"/>
      </mc:Fallback>
    </mc:AlternateContent>
    <mc:AlternateContent xmlns:mc="http://schemas.openxmlformats.org/markup-compatibility/2006">
      <mc:Choice Requires="x14">
        <oleObject progId="Equation.3" shapeId="4100" r:id="rId7">
          <objectPr defaultSize="0" autoPict="0" r:id="rId8">
            <anchor moveWithCells="1" sizeWithCells="1">
              <from>
                <xdr:col>3</xdr:col>
                <xdr:colOff>0</xdr:colOff>
                <xdr:row>2</xdr:row>
                <xdr:rowOff>0</xdr:rowOff>
              </from>
              <to>
                <xdr:col>3</xdr:col>
                <xdr:colOff>1135380</xdr:colOff>
                <xdr:row>2</xdr:row>
                <xdr:rowOff>670560</xdr:rowOff>
              </to>
            </anchor>
          </objectPr>
        </oleObject>
      </mc:Choice>
      <mc:Fallback>
        <oleObject progId="Equation.3" shapeId="4100" r:id="rId7"/>
      </mc:Fallback>
    </mc:AlternateContent>
    <mc:AlternateContent xmlns:mc="http://schemas.openxmlformats.org/markup-compatibility/2006">
      <mc:Choice Requires="x14">
        <oleObject progId="Equation.3" shapeId="4099" r:id="rId9">
          <objectPr defaultSize="0" autoPict="0" r:id="rId10">
            <anchor moveWithCells="1" sizeWithCells="1">
              <from>
                <xdr:col>4</xdr:col>
                <xdr:colOff>0</xdr:colOff>
                <xdr:row>2</xdr:row>
                <xdr:rowOff>0</xdr:rowOff>
              </from>
              <to>
                <xdr:col>4</xdr:col>
                <xdr:colOff>944880</xdr:colOff>
                <xdr:row>2</xdr:row>
                <xdr:rowOff>731520</xdr:rowOff>
              </to>
            </anchor>
          </objectPr>
        </oleObject>
      </mc:Choice>
      <mc:Fallback>
        <oleObject progId="Equation.3" shapeId="4099" r:id="rId9"/>
      </mc:Fallback>
    </mc:AlternateContent>
    <mc:AlternateContent xmlns:mc="http://schemas.openxmlformats.org/markup-compatibility/2006">
      <mc:Choice Requires="x14">
        <oleObject progId="Equation.3" shapeId="4098" r:id="rId11">
          <objectPr defaultSize="0" autoPict="0" r:id="rId12">
            <anchor moveWithCells="1" sizeWithCells="1">
              <from>
                <xdr:col>5</xdr:col>
                <xdr:colOff>0</xdr:colOff>
                <xdr:row>2</xdr:row>
                <xdr:rowOff>0</xdr:rowOff>
              </from>
              <to>
                <xdr:col>5</xdr:col>
                <xdr:colOff>1013460</xdr:colOff>
                <xdr:row>2</xdr:row>
                <xdr:rowOff>678180</xdr:rowOff>
              </to>
            </anchor>
          </objectPr>
        </oleObject>
      </mc:Choice>
      <mc:Fallback>
        <oleObject progId="Equation.3" shapeId="4098" r:id="rId11"/>
      </mc:Fallback>
    </mc:AlternateContent>
    <mc:AlternateContent xmlns:mc="http://schemas.openxmlformats.org/markup-compatibility/2006">
      <mc:Choice Requires="x14">
        <oleObject progId="Equation.3" shapeId="4097" r:id="rId13">
          <objectPr defaultSize="0" autoPict="0" r:id="rId14">
            <anchor moveWithCells="1" sizeWithCells="1">
              <from>
                <xdr:col>6</xdr:col>
                <xdr:colOff>0</xdr:colOff>
                <xdr:row>2</xdr:row>
                <xdr:rowOff>0</xdr:rowOff>
              </from>
              <to>
                <xdr:col>6</xdr:col>
                <xdr:colOff>868680</xdr:colOff>
                <xdr:row>2</xdr:row>
                <xdr:rowOff>754380</xdr:rowOff>
              </to>
            </anchor>
          </objectPr>
        </oleObject>
      </mc:Choice>
      <mc:Fallback>
        <oleObject progId="Equation.3" shapeId="4097" r:id="rId13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Лист1</vt:lpstr>
      <vt:lpstr>Лист2</vt:lpstr>
      <vt:lpstr>Лист4</vt:lpstr>
      <vt:lpstr>Лист5</vt:lpstr>
      <vt:lpstr>Лист6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2025-08-10T07:41:11Z</dcterms:created>
  <dcterms:modified xsi:type="dcterms:W3CDTF">2025-08-11T11:20:11Z</dcterms:modified>
</cp:coreProperties>
</file>