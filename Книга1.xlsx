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embeddings/oleObject16.bin" ContentType="application/vnd.openxmlformats-officedocument.oleObject"/>
  <Override PartName="/xl/embeddings/oleObject17.bin" ContentType="application/vnd.openxmlformats-officedocument.oleObject"/>
  <Override PartName="/xl/embeddings/oleObject18.bin" ContentType="application/vnd.openxmlformats-officedocument.oleObject"/>
  <Override PartName="/xl/embeddings/oleObject19.bin" ContentType="application/vnd.openxmlformats-officedocument.oleObject"/>
  <Override PartName="/xl/embeddings/oleObject20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OSPanel\home\kulidjanova_yulduz-xon\"/>
    </mc:Choice>
  </mc:AlternateContent>
  <bookViews>
    <workbookView xWindow="0" yWindow="0" windowWidth="23040" windowHeight="9072" activeTab="1"/>
  </bookViews>
  <sheets>
    <sheet name="Лист1" sheetId="1" r:id="rId1"/>
    <sheet name="Лист2" sheetId="2" r:id="rId2"/>
    <sheet name="Лист4" sheetId="4" r:id="rId3"/>
    <sheet name="Лист5" sheetId="5" r:id="rId4"/>
    <sheet name="Лист6" sheetId="6" r:id="rId5"/>
    <sheet name="Лист7" sheetId="7" r:id="rId6"/>
    <sheet name="Лист8" sheetId="8" r:id="rId7"/>
    <sheet name="Лист9" sheetId="9" r:id="rId8"/>
    <sheet name="Лист10" sheetId="10" r:id="rId9"/>
    <sheet name="Лист11" sheetId="11" r:id="rId10"/>
    <sheet name="Лист12" sheetId="12" r:id="rId1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8" l="1"/>
  <c r="F9" i="8"/>
  <c r="G9" i="8"/>
  <c r="H9" i="8"/>
  <c r="I9" i="8"/>
  <c r="J9" i="8"/>
  <c r="K9" i="8"/>
  <c r="L9" i="8"/>
  <c r="D9" i="8"/>
  <c r="D12" i="7"/>
  <c r="E12" i="7"/>
  <c r="F12" i="7"/>
  <c r="G12" i="7"/>
  <c r="H12" i="7"/>
  <c r="I12" i="7"/>
  <c r="J12" i="7"/>
  <c r="K12" i="7"/>
  <c r="C12" i="7"/>
  <c r="D10" i="6"/>
  <c r="E10" i="6"/>
  <c r="F10" i="6"/>
  <c r="G10" i="6"/>
  <c r="H10" i="6"/>
  <c r="I10" i="6"/>
  <c r="J10" i="6"/>
  <c r="K10" i="6"/>
  <c r="C10" i="6"/>
  <c r="D8" i="2" l="1"/>
  <c r="E8" i="2"/>
  <c r="C8" i="2"/>
  <c r="E14" i="1" l="1"/>
  <c r="E13" i="1"/>
  <c r="E11" i="1"/>
  <c r="E10" i="1"/>
  <c r="E8" i="1"/>
  <c r="E7" i="1"/>
  <c r="D15" i="1"/>
  <c r="C15" i="1"/>
  <c r="E15" i="1" l="1"/>
</calcChain>
</file>

<file path=xl/sharedStrings.xml><?xml version="1.0" encoding="utf-8"?>
<sst xmlns="http://schemas.openxmlformats.org/spreadsheetml/2006/main" count="212" uniqueCount="76">
  <si>
    <t>O’quv yillari</t>
  </si>
  <si>
    <t>2021-2025 yillari</t>
  </si>
  <si>
    <t>JAMI</t>
  </si>
  <si>
    <t>Nazorat guruhi talabalar soni</t>
  </si>
  <si>
    <t>Tajriba guruhi talabalar soni</t>
  </si>
  <si>
    <t>Talabalar soni</t>
  </si>
  <si>
    <t>O’zMU</t>
  </si>
  <si>
    <t>2023-2024</t>
  </si>
  <si>
    <t>2024-2025</t>
  </si>
  <si>
    <t>TAFU</t>
  </si>
  <si>
    <t>NamDPU</t>
  </si>
  <si>
    <t>Jami</t>
  </si>
  <si>
    <t>№</t>
  </si>
  <si>
    <t xml:space="preserve">Nazorat guruhi  </t>
  </si>
  <si>
    <t xml:space="preserve">Tajriba guruhi </t>
  </si>
  <si>
    <t>O‘quv guruhlari</t>
  </si>
  <si>
    <t>To‘g‘ri
javoblar
ning o‘rtacha
soni</t>
  </si>
  <si>
    <t>O‘rtacha
kvadratli
xatolik</t>
  </si>
  <si>
    <t>Variatsiya
koeffisiyenti</t>
  </si>
  <si>
    <t>Guruh tarkibi</t>
  </si>
  <si>
    <t>Guruh</t>
  </si>
  <si>
    <t>Maruzadan keying tekshiruv</t>
  </si>
  <si>
    <t>Uch oydan keyin tekshiruv</t>
  </si>
  <si>
    <t xml:space="preserve">To‘g‘ri javoblarning o‘rtacha soni </t>
  </si>
  <si>
    <t>m</t>
  </si>
  <si>
    <t xml:space="preserve">O‘rtacha kvadratik xatolik </t>
  </si>
  <si>
    <t>y</t>
  </si>
  <si>
    <t xml:space="preserve">Ma’lum ishonchlilik chegarasi kengligi </t>
  </si>
  <si>
    <t>D</t>
  </si>
  <si>
    <t>O‘zlashtirishi past talabalar</t>
  </si>
  <si>
    <t>N</t>
  </si>
  <si>
    <t>T</t>
  </si>
  <si>
    <t>O‘zlashtirishi yuqori talabalar</t>
  </si>
  <si>
    <t>Nisbiy samaradorlik koeffitsenti</t>
  </si>
  <si>
    <t>Qabul qilish</t>
  </si>
  <si>
    <t>O’zlashtirish</t>
  </si>
  <si>
    <t>Eslab qolish mustahkamligi</t>
  </si>
  <si>
    <t>O‘zlashti-rishi past</t>
  </si>
  <si>
    <t>O‘zlashti-rishi yuqori</t>
  </si>
  <si>
    <t>O‘zlashtirishi past</t>
  </si>
  <si>
    <t>O‘zlashtirishi yuqori</t>
  </si>
  <si>
    <t>3.2-jadval. Tajriba –sinov ishlarida ishtirok etgan oliy ta’lim muassasasi talabalari</t>
  </si>
  <si>
    <t>3.3-jadval. Tajriba-sinov natijalari</t>
  </si>
  <si>
    <t>3.4-jadval. Ikkinchi bosqich pedagogik tajriba-sinovlarning natijalari</t>
  </si>
  <si>
    <t>3.5-jadval. Dastur ishlanmalarning ta’lim jarayoniga joriy qilinganligi nisbiy samaradorligi.</t>
  </si>
  <si>
    <t>3.6-jadval. O‘zMU da olib borilgan tadqiqot natijalari.</t>
  </si>
  <si>
    <t>O‘quv yili</t>
  </si>
  <si>
    <t>Tajriba guruhi</t>
  </si>
  <si>
    <t>Nazorat guruhi</t>
  </si>
  <si>
    <t>Shakllanganlik darajasi</t>
  </si>
  <si>
    <t>To‘liq</t>
  </si>
  <si>
    <t>Asosan</t>
  </si>
  <si>
    <t>Qisman</t>
  </si>
  <si>
    <t>Past</t>
  </si>
  <si>
    <t>2022-2023</t>
  </si>
  <si>
    <t>3.7-jadval. TAFU da olib borilgan tadqiqot natijalari.</t>
  </si>
  <si>
    <t>3.8-jadval. NamDPU da olib borilgan tadqiqot natijalari.</t>
  </si>
  <si>
    <t>3.9-jadval.</t>
  </si>
  <si>
    <t>Tanlanmalar</t>
  </si>
  <si>
    <t>Nazorat gurhi</t>
  </si>
  <si>
    <t>3.10-jadval.– jadval. Tajriba boshida tanlab olingan guruhlardagi o‘zlashtirish natijalari va gipoteza xulosasi.</t>
  </si>
  <si>
    <t xml:space="preserve">Tajriba </t>
  </si>
  <si>
    <t>Nazorat</t>
  </si>
  <si>
    <t>Tajriba.-sinov talabalar soni</t>
  </si>
  <si>
    <t>Nazorat guruhi talabalr soni</t>
  </si>
  <si>
    <r>
      <t>X</t>
    </r>
    <r>
      <rPr>
        <i/>
        <vertAlign val="subscript"/>
        <sz val="12"/>
        <color theme="1"/>
        <rFont val="Times New Roman"/>
        <family val="1"/>
        <charset val="204"/>
      </rPr>
      <t>i</t>
    </r>
    <r>
      <rPr>
        <vertAlign val="subscript"/>
        <sz val="12"/>
        <color theme="1"/>
        <rFont val="Times New Roman"/>
        <family val="1"/>
        <charset val="204"/>
      </rPr>
      <t xml:space="preserve"> </t>
    </r>
    <r>
      <rPr>
        <sz val="12"/>
        <color theme="1"/>
        <rFont val="Times New Roman"/>
        <family val="1"/>
        <charset val="204"/>
      </rPr>
      <t>kvadrat</t>
    </r>
  </si>
  <si>
    <t>Kriteriya xulosasi</t>
  </si>
  <si>
    <t>O‘zMU</t>
  </si>
  <si>
    <r>
      <t>H</t>
    </r>
    <r>
      <rPr>
        <vertAlign val="subscript"/>
        <sz val="14"/>
        <color theme="1"/>
        <rFont val="Times New Roman"/>
        <family val="1"/>
        <charset val="204"/>
      </rPr>
      <t>0</t>
    </r>
  </si>
  <si>
    <r>
      <t>H</t>
    </r>
    <r>
      <rPr>
        <vertAlign val="subscript"/>
        <sz val="14"/>
        <color theme="1"/>
        <rFont val="Times New Roman"/>
        <family val="1"/>
        <charset val="204"/>
      </rPr>
      <t>1</t>
    </r>
  </si>
  <si>
    <t>3.11-jadval.– jadval. Tajriba boshida tanlab olingan guruhlardagi o‘zlashtirish natijalari va gipoteza xulosasi.</t>
  </si>
  <si>
    <t>Tajriba</t>
  </si>
  <si>
    <t xml:space="preserve">3.12-jadval. </t>
  </si>
  <si>
    <t>Tajriba guruhidagi o‘rtacha o‘zlashtirish ko‘rsatkichi</t>
  </si>
  <si>
    <t>Nazorat guruhidagi o‘rtacha o‘zlashtirish ko‘rsatkichi</t>
  </si>
  <si>
    <t>Samaradorlik ko‘rsatkichlari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</si>
</sst>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i/>
      <vertAlign val="subscript"/>
      <sz val="12"/>
      <color theme="1"/>
      <name val="Times New Roman"/>
      <family val="1"/>
      <charset val="204"/>
    </font>
    <font>
      <vertAlign val="subscript"/>
      <sz val="12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 textRotation="90" wrapText="1"/>
    </xf>
    <xf numFmtId="0" fontId="3" fillId="0" borderId="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0" fillId="0" borderId="7" xfId="0" applyBorder="1"/>
    <xf numFmtId="0" fontId="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textRotation="90" wrapText="1"/>
    </xf>
    <xf numFmtId="0" fontId="1" fillId="0" borderId="8" xfId="0" applyFont="1" applyBorder="1" applyAlignment="1">
      <alignment horizontal="center" vertical="center" textRotation="90" wrapText="1"/>
    </xf>
    <xf numFmtId="0" fontId="1" fillId="0" borderId="2" xfId="0" applyFont="1" applyBorder="1" applyAlignment="1">
      <alignment horizontal="center" vertical="center" textRotation="90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 vertical="center"/>
    </xf>
    <xf numFmtId="0" fontId="1" fillId="0" borderId="5" xfId="0" applyFont="1" applyBorder="1" applyAlignment="1">
      <alignment horizontal="center" vertical="center" textRotation="90" wrapText="1"/>
    </xf>
    <xf numFmtId="0" fontId="0" fillId="0" borderId="0" xfId="0" applyAlignment="1">
      <alignment vertical="center" wrapText="1"/>
    </xf>
    <xf numFmtId="0" fontId="5" fillId="0" borderId="2" xfId="0" applyFont="1" applyBorder="1" applyAlignment="1">
      <alignment horizontal="justify" vertical="center" wrapText="1"/>
    </xf>
    <xf numFmtId="0" fontId="1" fillId="0" borderId="5" xfId="0" applyFont="1" applyBorder="1" applyAlignment="1">
      <alignment horizontal="justify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justify" vertical="center"/>
    </xf>
    <xf numFmtId="0" fontId="5" fillId="0" borderId="2" xfId="0" applyFont="1" applyBorder="1" applyAlignment="1">
      <alignment horizontal="center" vertical="center" wrapText="1"/>
    </xf>
    <xf numFmtId="0" fontId="3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1" fillId="0" borderId="11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12" xfId="0" applyFont="1" applyBorder="1" applyAlignment="1">
      <alignment horizontal="center" vertical="center" textRotation="90" wrapText="1"/>
    </xf>
    <xf numFmtId="0" fontId="1" fillId="0" borderId="13" xfId="0" applyFont="1" applyBorder="1" applyAlignment="1">
      <alignment horizontal="center" vertical="center" textRotation="90" wrapText="1"/>
    </xf>
    <xf numFmtId="0" fontId="1" fillId="0" borderId="14" xfId="0" applyFont="1" applyBorder="1" applyAlignment="1">
      <alignment horizontal="center" vertical="center" wrapText="1"/>
    </xf>
    <xf numFmtId="0" fontId="1" fillId="0" borderId="0" xfId="0" applyFont="1"/>
    <xf numFmtId="0" fontId="1" fillId="0" borderId="10" xfId="0" applyFont="1" applyBorder="1" applyAlignment="1">
      <alignment horizontal="justify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5" xfId="0" applyFont="1" applyBorder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18" xfId="0" applyFont="1" applyBorder="1" applyAlignment="1">
      <alignment horizontal="center" vertical="center" textRotation="90" wrapText="1"/>
    </xf>
    <xf numFmtId="0" fontId="5" fillId="0" borderId="16" xfId="0" applyFont="1" applyBorder="1" applyAlignment="1">
      <alignment horizontal="justify" vertical="center" wrapText="1"/>
    </xf>
    <xf numFmtId="0" fontId="1" fillId="0" borderId="18" xfId="0" applyFont="1" applyBorder="1" applyAlignment="1">
      <alignment horizontal="justify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textRotation="90" wrapText="1"/>
    </xf>
    <xf numFmtId="0" fontId="3" fillId="0" borderId="21" xfId="0" applyFont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1" fillId="0" borderId="0" xfId="0" applyFont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Nisbiy samaradorlik koeffitsenti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Лист5!$C$21</c:f>
              <c:strCache>
                <c:ptCount val="1"/>
                <c:pt idx="0">
                  <c:v>O‘zlashtirishi past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Лист5!$B$22:$B$24</c:f>
              <c:strCache>
                <c:ptCount val="3"/>
                <c:pt idx="0">
                  <c:v>Qabul qilish</c:v>
                </c:pt>
                <c:pt idx="1">
                  <c:v>O’zlashtirish</c:v>
                </c:pt>
                <c:pt idx="2">
                  <c:v>Eslab qolish mustahkamligi</c:v>
                </c:pt>
              </c:strCache>
            </c:strRef>
          </c:cat>
          <c:val>
            <c:numRef>
              <c:f>Лист5!$C$22:$C$24</c:f>
              <c:numCache>
                <c:formatCode>General</c:formatCode>
                <c:ptCount val="3"/>
                <c:pt idx="0">
                  <c:v>1.36</c:v>
                </c:pt>
                <c:pt idx="1">
                  <c:v>1.27</c:v>
                </c:pt>
                <c:pt idx="2">
                  <c:v>1.36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64-4E5C-9039-6E34970B2DF4}"/>
            </c:ext>
          </c:extLst>
        </c:ser>
        <c:ser>
          <c:idx val="2"/>
          <c:order val="2"/>
          <c:tx>
            <c:strRef>
              <c:f>Лист5!$E$21</c:f>
              <c:strCache>
                <c:ptCount val="1"/>
                <c:pt idx="0">
                  <c:v>O‘zlashtirishi yuqori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Лист5!$B$22:$B$24</c:f>
              <c:strCache>
                <c:ptCount val="3"/>
                <c:pt idx="0">
                  <c:v>Qabul qilish</c:v>
                </c:pt>
                <c:pt idx="1">
                  <c:v>O’zlashtirish</c:v>
                </c:pt>
                <c:pt idx="2">
                  <c:v>Eslab qolish mustahkamligi</c:v>
                </c:pt>
              </c:strCache>
            </c:strRef>
          </c:cat>
          <c:val>
            <c:numRef>
              <c:f>Лист5!$E$22:$E$24</c:f>
              <c:numCache>
                <c:formatCode>General</c:formatCode>
                <c:ptCount val="3"/>
                <c:pt idx="0">
                  <c:v>1.31</c:v>
                </c:pt>
                <c:pt idx="1">
                  <c:v>1.24</c:v>
                </c:pt>
                <c:pt idx="2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64-4E5C-9039-6E34970B2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95033680"/>
        <c:axId val="395038672"/>
        <c:axId val="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Лист5!$D$21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Лист5!$B$22:$B$24</c15:sqref>
                        </c15:formulaRef>
                      </c:ext>
                    </c:extLst>
                    <c:strCache>
                      <c:ptCount val="3"/>
                      <c:pt idx="0">
                        <c:v>Qabul qilish</c:v>
                      </c:pt>
                      <c:pt idx="1">
                        <c:v>O’zlashtirish</c:v>
                      </c:pt>
                      <c:pt idx="2">
                        <c:v>Eslab qolish mustahkamligi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Лист5!$D$22:$D$24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0.83</c:v>
                      </c:pt>
                      <c:pt idx="1">
                        <c:v>0.98</c:v>
                      </c:pt>
                      <c:pt idx="2">
                        <c:v>0.84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A364-4E5C-9039-6E34970B2DF4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Лист5!$F$21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Лист5!$B$22:$B$24</c15:sqref>
                        </c15:formulaRef>
                      </c:ext>
                    </c:extLst>
                    <c:strCache>
                      <c:ptCount val="3"/>
                      <c:pt idx="0">
                        <c:v>Qabul qilish</c:v>
                      </c:pt>
                      <c:pt idx="1">
                        <c:v>O’zlashtirish</c:v>
                      </c:pt>
                      <c:pt idx="2">
                        <c:v>Eslab qolish mustahkamligi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Лист5!$F$22:$F$24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0.66</c:v>
                      </c:pt>
                      <c:pt idx="1">
                        <c:v>0.66</c:v>
                      </c:pt>
                      <c:pt idx="2">
                        <c:v>0.75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364-4E5C-9039-6E34970B2DF4}"/>
                  </c:ext>
                </c:extLst>
              </c15:ser>
            </c15:filteredBarSeries>
          </c:ext>
        </c:extLst>
      </c:bar3DChart>
      <c:catAx>
        <c:axId val="395033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5038672"/>
        <c:crosses val="autoZero"/>
        <c:auto val="1"/>
        <c:lblAlgn val="ctr"/>
        <c:lblOffset val="100"/>
        <c:noMultiLvlLbl val="0"/>
      </c:catAx>
      <c:valAx>
        <c:axId val="39503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503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wmf"/><Relationship Id="rId2" Type="http://schemas.openxmlformats.org/officeDocument/2006/relationships/image" Target="../media/image2.wmf"/><Relationship Id="rId1" Type="http://schemas.openxmlformats.org/officeDocument/2006/relationships/image" Target="../media/image1.wmf"/><Relationship Id="rId6" Type="http://schemas.openxmlformats.org/officeDocument/2006/relationships/image" Target="../media/image6.wmf"/><Relationship Id="rId5" Type="http://schemas.openxmlformats.org/officeDocument/2006/relationships/image" Target="../media/image5.wmf"/><Relationship Id="rId4" Type="http://schemas.openxmlformats.org/officeDocument/2006/relationships/image" Target="../media/image4.wmf"/></Relationships>
</file>

<file path=xl/drawings/_rels/vmlDrawing2.vml.rels><?xml version="1.0" encoding="UTF-8" standalone="yes"?>
<Relationships xmlns="http://schemas.openxmlformats.org/package/2006/relationships"><Relationship Id="rId8" Type="http://schemas.openxmlformats.org/officeDocument/2006/relationships/image" Target="../media/image14.wmf"/><Relationship Id="rId13" Type="http://schemas.openxmlformats.org/officeDocument/2006/relationships/image" Target="../media/image19.wmf"/><Relationship Id="rId3" Type="http://schemas.openxmlformats.org/officeDocument/2006/relationships/image" Target="../media/image9.wmf"/><Relationship Id="rId7" Type="http://schemas.openxmlformats.org/officeDocument/2006/relationships/image" Target="../media/image13.wmf"/><Relationship Id="rId12" Type="http://schemas.openxmlformats.org/officeDocument/2006/relationships/image" Target="../media/image18.wmf"/><Relationship Id="rId2" Type="http://schemas.openxmlformats.org/officeDocument/2006/relationships/image" Target="../media/image8.wmf"/><Relationship Id="rId1" Type="http://schemas.openxmlformats.org/officeDocument/2006/relationships/image" Target="../media/image7.wmf"/><Relationship Id="rId6" Type="http://schemas.openxmlformats.org/officeDocument/2006/relationships/image" Target="../media/image12.wmf"/><Relationship Id="rId11" Type="http://schemas.openxmlformats.org/officeDocument/2006/relationships/image" Target="../media/image17.wmf"/><Relationship Id="rId5" Type="http://schemas.openxmlformats.org/officeDocument/2006/relationships/image" Target="../media/image11.wmf"/><Relationship Id="rId10" Type="http://schemas.openxmlformats.org/officeDocument/2006/relationships/image" Target="../media/image16.wmf"/><Relationship Id="rId4" Type="http://schemas.openxmlformats.org/officeDocument/2006/relationships/image" Target="../media/image10.wmf"/><Relationship Id="rId9" Type="http://schemas.openxmlformats.org/officeDocument/2006/relationships/image" Target="../media/image15.wmf"/><Relationship Id="rId14" Type="http://schemas.openxmlformats.org/officeDocument/2006/relationships/image" Target="../media/image20.w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5</xdr:row>
          <xdr:rowOff>0</xdr:rowOff>
        </xdr:from>
        <xdr:to>
          <xdr:col>2</xdr:col>
          <xdr:colOff>0</xdr:colOff>
          <xdr:row>5</xdr:row>
          <xdr:rowOff>617220</xdr:rowOff>
        </xdr:to>
        <xdr:sp macro="" textlink="">
          <xdr:nvSpPr>
            <xdr:cNvPr id="4102" name="Object 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106680</xdr:colOff>
          <xdr:row>5</xdr:row>
          <xdr:rowOff>53340</xdr:rowOff>
        </xdr:from>
        <xdr:to>
          <xdr:col>2</xdr:col>
          <xdr:colOff>1074420</xdr:colOff>
          <xdr:row>5</xdr:row>
          <xdr:rowOff>731520</xdr:rowOff>
        </xdr:to>
        <xdr:sp macro="" textlink="">
          <xdr:nvSpPr>
            <xdr:cNvPr id="4101" name="Object 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5</xdr:row>
          <xdr:rowOff>0</xdr:rowOff>
        </xdr:from>
        <xdr:to>
          <xdr:col>3</xdr:col>
          <xdr:colOff>1135380</xdr:colOff>
          <xdr:row>5</xdr:row>
          <xdr:rowOff>670560</xdr:rowOff>
        </xdr:to>
        <xdr:sp macro="" textlink="">
          <xdr:nvSpPr>
            <xdr:cNvPr id="4100" name="Object 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5</xdr:row>
          <xdr:rowOff>0</xdr:rowOff>
        </xdr:from>
        <xdr:to>
          <xdr:col>4</xdr:col>
          <xdr:colOff>944880</xdr:colOff>
          <xdr:row>5</xdr:row>
          <xdr:rowOff>731520</xdr:rowOff>
        </xdr:to>
        <xdr:sp macro="" textlink="">
          <xdr:nvSpPr>
            <xdr:cNvPr id="4099" name="Object 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5</xdr:row>
          <xdr:rowOff>0</xdr:rowOff>
        </xdr:from>
        <xdr:to>
          <xdr:col>5</xdr:col>
          <xdr:colOff>1013460</xdr:colOff>
          <xdr:row>5</xdr:row>
          <xdr:rowOff>678180</xdr:rowOff>
        </xdr:to>
        <xdr:sp macro="" textlink="">
          <xdr:nvSpPr>
            <xdr:cNvPr id="4098" name="Object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5</xdr:row>
          <xdr:rowOff>0</xdr:rowOff>
        </xdr:from>
        <xdr:to>
          <xdr:col>6</xdr:col>
          <xdr:colOff>868680</xdr:colOff>
          <xdr:row>5</xdr:row>
          <xdr:rowOff>754380</xdr:rowOff>
        </xdr:to>
        <xdr:sp macro="" textlink="">
          <xdr:nvSpPr>
            <xdr:cNvPr id="4097" name="Object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xdr:twoCellAnchor>
    <xdr:from>
      <xdr:col>8</xdr:col>
      <xdr:colOff>87085</xdr:colOff>
      <xdr:row>7</xdr:row>
      <xdr:rowOff>484414</xdr:rowOff>
    </xdr:from>
    <xdr:to>
      <xdr:col>15</xdr:col>
      <xdr:colOff>391885</xdr:colOff>
      <xdr:row>15</xdr:row>
      <xdr:rowOff>375557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3</xdr:row>
          <xdr:rowOff>0</xdr:rowOff>
        </xdr:from>
        <xdr:to>
          <xdr:col>3</xdr:col>
          <xdr:colOff>487680</xdr:colOff>
          <xdr:row>3</xdr:row>
          <xdr:rowOff>220980</xdr:rowOff>
        </xdr:to>
        <xdr:sp macro="" textlink="">
          <xdr:nvSpPr>
            <xdr:cNvPr id="11278" name="Object 14" hidden="1">
              <a:extLst>
                <a:ext uri="{63B3BB69-23CF-44E3-9099-C40C66FF867C}">
                  <a14:compatExt spid="_x0000_s112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3</xdr:row>
          <xdr:rowOff>0</xdr:rowOff>
        </xdr:from>
        <xdr:to>
          <xdr:col>4</xdr:col>
          <xdr:colOff>487680</xdr:colOff>
          <xdr:row>3</xdr:row>
          <xdr:rowOff>220980</xdr:rowOff>
        </xdr:to>
        <xdr:sp macro="" textlink="">
          <xdr:nvSpPr>
            <xdr:cNvPr id="11277" name="Object 13" hidden="1">
              <a:extLst>
                <a:ext uri="{63B3BB69-23CF-44E3-9099-C40C66FF867C}">
                  <a14:compatExt spid="_x0000_s112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3</xdr:row>
          <xdr:rowOff>0</xdr:rowOff>
        </xdr:from>
        <xdr:to>
          <xdr:col>5</xdr:col>
          <xdr:colOff>541020</xdr:colOff>
          <xdr:row>3</xdr:row>
          <xdr:rowOff>228600</xdr:rowOff>
        </xdr:to>
        <xdr:sp macro="" textlink="">
          <xdr:nvSpPr>
            <xdr:cNvPr id="11276" name="Object 12" hidden="1">
              <a:extLst>
                <a:ext uri="{63B3BB69-23CF-44E3-9099-C40C66FF867C}">
                  <a14:compatExt spid="_x0000_s112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3</xdr:row>
          <xdr:rowOff>0</xdr:rowOff>
        </xdr:from>
        <xdr:to>
          <xdr:col>6</xdr:col>
          <xdr:colOff>495300</xdr:colOff>
          <xdr:row>3</xdr:row>
          <xdr:rowOff>220980</xdr:rowOff>
        </xdr:to>
        <xdr:sp macro="" textlink="">
          <xdr:nvSpPr>
            <xdr:cNvPr id="11275" name="Object 11" hidden="1">
              <a:extLst>
                <a:ext uri="{63B3BB69-23CF-44E3-9099-C40C66FF867C}">
                  <a14:compatExt spid="_x0000_s112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3</xdr:row>
          <xdr:rowOff>0</xdr:rowOff>
        </xdr:from>
        <xdr:to>
          <xdr:col>7</xdr:col>
          <xdr:colOff>480060</xdr:colOff>
          <xdr:row>3</xdr:row>
          <xdr:rowOff>220980</xdr:rowOff>
        </xdr:to>
        <xdr:sp macro="" textlink="">
          <xdr:nvSpPr>
            <xdr:cNvPr id="11274" name="Object 10" hidden="1">
              <a:extLst>
                <a:ext uri="{63B3BB69-23CF-44E3-9099-C40C66FF867C}">
                  <a14:compatExt spid="_x0000_s112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4</xdr:row>
          <xdr:rowOff>0</xdr:rowOff>
        </xdr:from>
        <xdr:to>
          <xdr:col>3</xdr:col>
          <xdr:colOff>480060</xdr:colOff>
          <xdr:row>4</xdr:row>
          <xdr:rowOff>220980</xdr:rowOff>
        </xdr:to>
        <xdr:sp macro="" textlink="">
          <xdr:nvSpPr>
            <xdr:cNvPr id="11273" name="Object 9" hidden="1">
              <a:extLst>
                <a:ext uri="{63B3BB69-23CF-44E3-9099-C40C66FF867C}">
                  <a14:compatExt spid="_x0000_s112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4</xdr:row>
          <xdr:rowOff>0</xdr:rowOff>
        </xdr:from>
        <xdr:to>
          <xdr:col>4</xdr:col>
          <xdr:colOff>502920</xdr:colOff>
          <xdr:row>4</xdr:row>
          <xdr:rowOff>220980</xdr:rowOff>
        </xdr:to>
        <xdr:sp macro="" textlink="">
          <xdr:nvSpPr>
            <xdr:cNvPr id="11272" name="Object 8" hidden="1">
              <a:extLst>
                <a:ext uri="{63B3BB69-23CF-44E3-9099-C40C66FF867C}">
                  <a14:compatExt spid="_x0000_s112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4</xdr:row>
          <xdr:rowOff>0</xdr:rowOff>
        </xdr:from>
        <xdr:to>
          <xdr:col>5</xdr:col>
          <xdr:colOff>563880</xdr:colOff>
          <xdr:row>4</xdr:row>
          <xdr:rowOff>228600</xdr:rowOff>
        </xdr:to>
        <xdr:sp macro="" textlink="">
          <xdr:nvSpPr>
            <xdr:cNvPr id="11271" name="Object 7" hidden="1">
              <a:extLst>
                <a:ext uri="{63B3BB69-23CF-44E3-9099-C40C66FF867C}">
                  <a14:compatExt spid="_x0000_s112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4</xdr:row>
          <xdr:rowOff>0</xdr:rowOff>
        </xdr:from>
        <xdr:to>
          <xdr:col>6</xdr:col>
          <xdr:colOff>563880</xdr:colOff>
          <xdr:row>4</xdr:row>
          <xdr:rowOff>220980</xdr:rowOff>
        </xdr:to>
        <xdr:sp macro="" textlink="">
          <xdr:nvSpPr>
            <xdr:cNvPr id="11270" name="Object 6" hidden="1">
              <a:extLst>
                <a:ext uri="{63B3BB69-23CF-44E3-9099-C40C66FF867C}">
                  <a14:compatExt spid="_x0000_s112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4</xdr:row>
          <xdr:rowOff>0</xdr:rowOff>
        </xdr:from>
        <xdr:to>
          <xdr:col>7</xdr:col>
          <xdr:colOff>487680</xdr:colOff>
          <xdr:row>4</xdr:row>
          <xdr:rowOff>220980</xdr:rowOff>
        </xdr:to>
        <xdr:sp macro="" textlink="">
          <xdr:nvSpPr>
            <xdr:cNvPr id="11269" name="Object 5" hidden="1">
              <a:extLst>
                <a:ext uri="{63B3BB69-23CF-44E3-9099-C40C66FF867C}">
                  <a14:compatExt spid="_x0000_s112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5</xdr:row>
          <xdr:rowOff>30760</xdr:rowOff>
        </xdr:from>
        <xdr:to>
          <xdr:col>3</xdr:col>
          <xdr:colOff>1196340</xdr:colOff>
          <xdr:row>5</xdr:row>
          <xdr:rowOff>213359</xdr:rowOff>
        </xdr:to>
        <xdr:sp macro="" textlink="">
          <xdr:nvSpPr>
            <xdr:cNvPr id="11268" name="Object 4" hidden="1">
              <a:extLst>
                <a:ext uri="{63B3BB69-23CF-44E3-9099-C40C66FF867C}">
                  <a14:compatExt spid="_x0000_s112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5</xdr:row>
          <xdr:rowOff>49862</xdr:rowOff>
        </xdr:from>
        <xdr:to>
          <xdr:col>4</xdr:col>
          <xdr:colOff>1150620</xdr:colOff>
          <xdr:row>5</xdr:row>
          <xdr:rowOff>220980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5</xdr:row>
          <xdr:rowOff>53108</xdr:rowOff>
        </xdr:from>
        <xdr:to>
          <xdr:col>5</xdr:col>
          <xdr:colOff>1158240</xdr:colOff>
          <xdr:row>5</xdr:row>
          <xdr:rowOff>228599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5</xdr:row>
          <xdr:rowOff>46300</xdr:rowOff>
        </xdr:from>
        <xdr:to>
          <xdr:col>6</xdr:col>
          <xdr:colOff>1264920</xdr:colOff>
          <xdr:row>5</xdr:row>
          <xdr:rowOff>220979</xdr:rowOff>
        </xdr:to>
        <xdr:sp macro="" textlink="">
          <xdr:nvSpPr>
            <xdr:cNvPr id="11265" name="Object 1" hidden="1">
              <a:extLst>
                <a:ext uri="{63B3BB69-23CF-44E3-9099-C40C66FF867C}">
                  <a14:compatExt spid="_x0000_s11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wmf"/><Relationship Id="rId13" Type="http://schemas.openxmlformats.org/officeDocument/2006/relationships/oleObject" Target="../embeddings/oleObject6.bin"/><Relationship Id="rId3" Type="http://schemas.openxmlformats.org/officeDocument/2006/relationships/oleObject" Target="../embeddings/oleObject1.bin"/><Relationship Id="rId7" Type="http://schemas.openxmlformats.org/officeDocument/2006/relationships/oleObject" Target="../embeddings/oleObject3.bin"/><Relationship Id="rId12" Type="http://schemas.openxmlformats.org/officeDocument/2006/relationships/image" Target="../media/image5.wmf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image" Target="../media/image2.wmf"/><Relationship Id="rId11" Type="http://schemas.openxmlformats.org/officeDocument/2006/relationships/oleObject" Target="../embeddings/oleObject5.bin"/><Relationship Id="rId5" Type="http://schemas.openxmlformats.org/officeDocument/2006/relationships/oleObject" Target="../embeddings/oleObject2.bin"/><Relationship Id="rId10" Type="http://schemas.openxmlformats.org/officeDocument/2006/relationships/image" Target="../media/image4.wmf"/><Relationship Id="rId4" Type="http://schemas.openxmlformats.org/officeDocument/2006/relationships/image" Target="../media/image1.wmf"/><Relationship Id="rId9" Type="http://schemas.openxmlformats.org/officeDocument/2006/relationships/oleObject" Target="../embeddings/oleObject4.bin"/><Relationship Id="rId14" Type="http://schemas.openxmlformats.org/officeDocument/2006/relationships/image" Target="../media/image6.wmf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wmf"/><Relationship Id="rId13" Type="http://schemas.openxmlformats.org/officeDocument/2006/relationships/oleObject" Target="../embeddings/oleObject12.bin"/><Relationship Id="rId18" Type="http://schemas.openxmlformats.org/officeDocument/2006/relationships/image" Target="../media/image14.wmf"/><Relationship Id="rId26" Type="http://schemas.openxmlformats.org/officeDocument/2006/relationships/image" Target="../media/image18.wmf"/><Relationship Id="rId3" Type="http://schemas.openxmlformats.org/officeDocument/2006/relationships/oleObject" Target="../embeddings/oleObject7.bin"/><Relationship Id="rId21" Type="http://schemas.openxmlformats.org/officeDocument/2006/relationships/oleObject" Target="../embeddings/oleObject16.bin"/><Relationship Id="rId7" Type="http://schemas.openxmlformats.org/officeDocument/2006/relationships/oleObject" Target="../embeddings/oleObject9.bin"/><Relationship Id="rId12" Type="http://schemas.openxmlformats.org/officeDocument/2006/relationships/image" Target="../media/image11.wmf"/><Relationship Id="rId17" Type="http://schemas.openxmlformats.org/officeDocument/2006/relationships/oleObject" Target="../embeddings/oleObject14.bin"/><Relationship Id="rId25" Type="http://schemas.openxmlformats.org/officeDocument/2006/relationships/oleObject" Target="../embeddings/oleObject18.bin"/><Relationship Id="rId2" Type="http://schemas.openxmlformats.org/officeDocument/2006/relationships/vmlDrawing" Target="../drawings/vmlDrawing2.vml"/><Relationship Id="rId16" Type="http://schemas.openxmlformats.org/officeDocument/2006/relationships/image" Target="../media/image13.wmf"/><Relationship Id="rId20" Type="http://schemas.openxmlformats.org/officeDocument/2006/relationships/image" Target="../media/image15.wmf"/><Relationship Id="rId29" Type="http://schemas.openxmlformats.org/officeDocument/2006/relationships/oleObject" Target="../embeddings/oleObject20.bin"/><Relationship Id="rId1" Type="http://schemas.openxmlformats.org/officeDocument/2006/relationships/drawing" Target="../drawings/drawing2.xml"/><Relationship Id="rId6" Type="http://schemas.openxmlformats.org/officeDocument/2006/relationships/image" Target="../media/image8.wmf"/><Relationship Id="rId11" Type="http://schemas.openxmlformats.org/officeDocument/2006/relationships/oleObject" Target="../embeddings/oleObject11.bin"/><Relationship Id="rId24" Type="http://schemas.openxmlformats.org/officeDocument/2006/relationships/image" Target="../media/image17.wmf"/><Relationship Id="rId5" Type="http://schemas.openxmlformats.org/officeDocument/2006/relationships/oleObject" Target="../embeddings/oleObject8.bin"/><Relationship Id="rId15" Type="http://schemas.openxmlformats.org/officeDocument/2006/relationships/oleObject" Target="../embeddings/oleObject13.bin"/><Relationship Id="rId23" Type="http://schemas.openxmlformats.org/officeDocument/2006/relationships/oleObject" Target="../embeddings/oleObject17.bin"/><Relationship Id="rId28" Type="http://schemas.openxmlformats.org/officeDocument/2006/relationships/image" Target="../media/image19.wmf"/><Relationship Id="rId10" Type="http://schemas.openxmlformats.org/officeDocument/2006/relationships/image" Target="../media/image10.wmf"/><Relationship Id="rId19" Type="http://schemas.openxmlformats.org/officeDocument/2006/relationships/oleObject" Target="../embeddings/oleObject15.bin"/><Relationship Id="rId4" Type="http://schemas.openxmlformats.org/officeDocument/2006/relationships/image" Target="../media/image7.wmf"/><Relationship Id="rId9" Type="http://schemas.openxmlformats.org/officeDocument/2006/relationships/oleObject" Target="../embeddings/oleObject10.bin"/><Relationship Id="rId14" Type="http://schemas.openxmlformats.org/officeDocument/2006/relationships/image" Target="../media/image12.wmf"/><Relationship Id="rId22" Type="http://schemas.openxmlformats.org/officeDocument/2006/relationships/image" Target="../media/image16.wmf"/><Relationship Id="rId27" Type="http://schemas.openxmlformats.org/officeDocument/2006/relationships/oleObject" Target="../embeddings/oleObject19.bin"/><Relationship Id="rId30" Type="http://schemas.openxmlformats.org/officeDocument/2006/relationships/image" Target="../media/image20.w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5"/>
  <sheetViews>
    <sheetView topLeftCell="A6" workbookViewId="0">
      <selection activeCell="B4" sqref="B4:E15"/>
    </sheetView>
  </sheetViews>
  <sheetFormatPr defaultRowHeight="14.4" x14ac:dyDescent="0.3"/>
  <cols>
    <col min="3" max="3" width="20.33203125" customWidth="1"/>
    <col min="4" max="4" width="21.44140625" customWidth="1"/>
    <col min="5" max="5" width="19.6640625" customWidth="1"/>
  </cols>
  <sheetData>
    <row r="2" spans="2:5" x14ac:dyDescent="0.3">
      <c r="B2" s="30" t="s">
        <v>41</v>
      </c>
      <c r="C2" s="30"/>
      <c r="D2" s="30"/>
      <c r="E2" s="30"/>
    </row>
    <row r="3" spans="2:5" ht="15" thickBot="1" x14ac:dyDescent="0.35"/>
    <row r="4" spans="2:5" ht="36" customHeight="1" thickBot="1" x14ac:dyDescent="0.35">
      <c r="B4" s="19" t="s">
        <v>0</v>
      </c>
      <c r="C4" s="21" t="s">
        <v>1</v>
      </c>
      <c r="D4" s="22"/>
      <c r="E4" s="1" t="s">
        <v>2</v>
      </c>
    </row>
    <row r="5" spans="2:5" ht="36.6" thickBot="1" x14ac:dyDescent="0.35">
      <c r="B5" s="20"/>
      <c r="C5" s="2" t="s">
        <v>3</v>
      </c>
      <c r="D5" s="2" t="s">
        <v>4</v>
      </c>
      <c r="E5" s="2" t="s">
        <v>5</v>
      </c>
    </row>
    <row r="6" spans="2:5" ht="42.6" customHeight="1" thickBot="1" x14ac:dyDescent="0.35">
      <c r="B6" s="21" t="s">
        <v>6</v>
      </c>
      <c r="C6" s="23"/>
      <c r="D6" s="23"/>
      <c r="E6" s="22"/>
    </row>
    <row r="7" spans="2:5" ht="36.6" thickBot="1" x14ac:dyDescent="0.35">
      <c r="B7" s="3" t="s">
        <v>7</v>
      </c>
      <c r="C7" s="2">
        <v>29</v>
      </c>
      <c r="D7" s="2">
        <v>31</v>
      </c>
      <c r="E7" s="2">
        <f>C7+D7</f>
        <v>60</v>
      </c>
    </row>
    <row r="8" spans="2:5" ht="36.6" thickBot="1" x14ac:dyDescent="0.35">
      <c r="B8" s="3" t="s">
        <v>8</v>
      </c>
      <c r="C8" s="2">
        <v>32</v>
      </c>
      <c r="D8" s="2">
        <v>34</v>
      </c>
      <c r="E8" s="2">
        <f>C8+D8</f>
        <v>66</v>
      </c>
    </row>
    <row r="9" spans="2:5" ht="48" customHeight="1" thickBot="1" x14ac:dyDescent="0.35">
      <c r="B9" s="21" t="s">
        <v>9</v>
      </c>
      <c r="C9" s="23"/>
      <c r="D9" s="23"/>
      <c r="E9" s="22"/>
    </row>
    <row r="10" spans="2:5" ht="36.6" thickBot="1" x14ac:dyDescent="0.35">
      <c r="B10" s="3" t="s">
        <v>7</v>
      </c>
      <c r="C10" s="2">
        <v>32</v>
      </c>
      <c r="D10" s="2">
        <v>29</v>
      </c>
      <c r="E10" s="2">
        <f>D10+C10</f>
        <v>61</v>
      </c>
    </row>
    <row r="11" spans="2:5" ht="48.6" customHeight="1" thickBot="1" x14ac:dyDescent="0.35">
      <c r="B11" s="3" t="s">
        <v>8</v>
      </c>
      <c r="C11" s="2">
        <v>33</v>
      </c>
      <c r="D11" s="2">
        <v>36</v>
      </c>
      <c r="E11" s="2">
        <f>D11+C11</f>
        <v>69</v>
      </c>
    </row>
    <row r="12" spans="2:5" ht="34.200000000000003" customHeight="1" thickBot="1" x14ac:dyDescent="0.35">
      <c r="B12" s="21" t="s">
        <v>10</v>
      </c>
      <c r="C12" s="23"/>
      <c r="D12" s="23"/>
      <c r="E12" s="22"/>
    </row>
    <row r="13" spans="2:5" ht="36.6" thickBot="1" x14ac:dyDescent="0.35">
      <c r="B13" s="3" t="s">
        <v>7</v>
      </c>
      <c r="C13" s="2">
        <v>30</v>
      </c>
      <c r="D13" s="2">
        <v>32</v>
      </c>
      <c r="E13" s="2">
        <f>D13+C13</f>
        <v>62</v>
      </c>
    </row>
    <row r="14" spans="2:5" ht="36.6" thickBot="1" x14ac:dyDescent="0.35">
      <c r="B14" s="3" t="s">
        <v>8</v>
      </c>
      <c r="C14" s="2">
        <v>29</v>
      </c>
      <c r="D14" s="2">
        <v>33</v>
      </c>
      <c r="E14" s="2">
        <f>D14+C14</f>
        <v>62</v>
      </c>
    </row>
    <row r="15" spans="2:5" ht="18.600000000000001" thickBot="1" x14ac:dyDescent="0.35">
      <c r="B15" s="3" t="s">
        <v>11</v>
      </c>
      <c r="C15" s="2">
        <f>C14+C13+C11+C10+C8+C7</f>
        <v>185</v>
      </c>
      <c r="D15" s="2">
        <f>D14+D13+D11+D10+D8+D7</f>
        <v>195</v>
      </c>
      <c r="E15" s="2">
        <f>E13+E14+E11+E10+E8+E7</f>
        <v>380</v>
      </c>
    </row>
  </sheetData>
  <mergeCells count="6">
    <mergeCell ref="B2:E2"/>
    <mergeCell ref="B4:B5"/>
    <mergeCell ref="C4:D4"/>
    <mergeCell ref="B6:E6"/>
    <mergeCell ref="B9:E9"/>
    <mergeCell ref="B12:E12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8"/>
  <sheetViews>
    <sheetView tabSelected="1" zoomScaleNormal="100" workbookViewId="0">
      <selection activeCell="C8" sqref="C8"/>
    </sheetView>
  </sheetViews>
  <sheetFormatPr defaultRowHeight="14.4" x14ac:dyDescent="0.3"/>
  <cols>
    <col min="1" max="1" width="8.88671875" customWidth="1"/>
    <col min="2" max="2" width="21.5546875" customWidth="1"/>
    <col min="3" max="3" width="18.6640625" customWidth="1"/>
    <col min="4" max="4" width="20.77734375" customWidth="1"/>
    <col min="5" max="5" width="23.6640625" customWidth="1"/>
  </cols>
  <sheetData>
    <row r="2" spans="1:5" x14ac:dyDescent="0.3">
      <c r="C2" s="30" t="s">
        <v>42</v>
      </c>
      <c r="D2" s="30"/>
    </row>
    <row r="4" spans="1:5" ht="72.599999999999994" thickBot="1" x14ac:dyDescent="0.35">
      <c r="A4" s="7" t="s">
        <v>12</v>
      </c>
      <c r="B4" s="7" t="s">
        <v>15</v>
      </c>
      <c r="C4" s="7" t="s">
        <v>16</v>
      </c>
      <c r="D4" s="7" t="s">
        <v>17</v>
      </c>
      <c r="E4" s="7" t="s">
        <v>18</v>
      </c>
    </row>
    <row r="5" spans="1:5" ht="18.600000000000001" thickBot="1" x14ac:dyDescent="0.35">
      <c r="A5" s="7">
        <v>1</v>
      </c>
      <c r="B5" s="7" t="s">
        <v>13</v>
      </c>
      <c r="C5" s="72">
        <v>4.91</v>
      </c>
      <c r="D5" s="6">
        <v>3.37</v>
      </c>
      <c r="E5" s="6">
        <v>68.599999999999994</v>
      </c>
    </row>
    <row r="6" spans="1:5" ht="18.600000000000001" thickBot="1" x14ac:dyDescent="0.35">
      <c r="A6" s="7">
        <v>2</v>
      </c>
      <c r="B6" s="7" t="s">
        <v>14</v>
      </c>
      <c r="C6" s="5">
        <v>7.98</v>
      </c>
      <c r="D6" s="2">
        <v>2.4500000000000002</v>
      </c>
      <c r="E6" s="2">
        <v>30.7</v>
      </c>
    </row>
    <row r="8" spans="1:5" x14ac:dyDescent="0.3">
      <c r="C8" s="8">
        <f>C6/C5</f>
        <v>1.6252545824847251</v>
      </c>
      <c r="D8" s="8">
        <f t="shared" ref="D8:E8" si="0">D6/D5</f>
        <v>0.72700296735905046</v>
      </c>
      <c r="E8" s="8">
        <f t="shared" si="0"/>
        <v>0.44752186588921283</v>
      </c>
    </row>
  </sheetData>
  <mergeCells count="1">
    <mergeCell ref="C2:D2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0"/>
  <sheetViews>
    <sheetView workbookViewId="0">
      <selection activeCell="D2" sqref="D2"/>
    </sheetView>
  </sheetViews>
  <sheetFormatPr defaultRowHeight="14.4" x14ac:dyDescent="0.3"/>
  <sheetData>
    <row r="2" spans="1:8" x14ac:dyDescent="0.3">
      <c r="D2" t="s">
        <v>43</v>
      </c>
    </row>
    <row r="3" spans="1:8" ht="15" thickBot="1" x14ac:dyDescent="0.35"/>
    <row r="4" spans="1:8" ht="42" thickBot="1" x14ac:dyDescent="0.35">
      <c r="A4" s="24" t="s">
        <v>19</v>
      </c>
      <c r="B4" s="9" t="s">
        <v>20</v>
      </c>
      <c r="C4" s="21" t="s">
        <v>21</v>
      </c>
      <c r="D4" s="23"/>
      <c r="E4" s="22"/>
      <c r="F4" s="21" t="s">
        <v>22</v>
      </c>
      <c r="G4" s="23"/>
      <c r="H4" s="22"/>
    </row>
    <row r="5" spans="1:8" ht="93.6" x14ac:dyDescent="0.3">
      <c r="A5" s="25"/>
      <c r="B5" s="19"/>
      <c r="C5" s="10" t="s">
        <v>23</v>
      </c>
      <c r="D5" s="10" t="s">
        <v>25</v>
      </c>
      <c r="E5" s="10" t="s">
        <v>27</v>
      </c>
      <c r="F5" s="10" t="s">
        <v>23</v>
      </c>
      <c r="G5" s="10" t="s">
        <v>25</v>
      </c>
      <c r="H5" s="10" t="s">
        <v>27</v>
      </c>
    </row>
    <row r="6" spans="1:8" ht="16.8" thickBot="1" x14ac:dyDescent="0.35">
      <c r="A6" s="26"/>
      <c r="B6" s="20"/>
      <c r="C6" s="11" t="s">
        <v>24</v>
      </c>
      <c r="D6" s="11" t="s">
        <v>26</v>
      </c>
      <c r="E6" s="11" t="s">
        <v>28</v>
      </c>
      <c r="F6" s="11" t="s">
        <v>24</v>
      </c>
      <c r="G6" s="11" t="s">
        <v>26</v>
      </c>
      <c r="H6" s="11" t="s">
        <v>28</v>
      </c>
    </row>
    <row r="7" spans="1:8" ht="71.400000000000006" customHeight="1" thickBot="1" x14ac:dyDescent="0.35">
      <c r="A7" s="24" t="s">
        <v>29</v>
      </c>
      <c r="B7" s="2" t="s">
        <v>30</v>
      </c>
      <c r="C7" s="2">
        <v>5.5</v>
      </c>
      <c r="D7" s="2">
        <v>2.9</v>
      </c>
      <c r="E7" s="2">
        <v>0.89</v>
      </c>
      <c r="F7" s="2">
        <v>6</v>
      </c>
      <c r="G7" s="2">
        <v>2.54</v>
      </c>
      <c r="H7" s="2">
        <v>0.89</v>
      </c>
    </row>
    <row r="8" spans="1:8" ht="18.600000000000001" thickBot="1" x14ac:dyDescent="0.35">
      <c r="A8" s="26"/>
      <c r="B8" s="2" t="s">
        <v>31</v>
      </c>
      <c r="C8" s="2">
        <v>7.3</v>
      </c>
      <c r="D8" s="2">
        <v>2.5</v>
      </c>
      <c r="E8" s="2">
        <v>0.75</v>
      </c>
      <c r="F8" s="2">
        <v>8</v>
      </c>
      <c r="G8" s="2">
        <v>2.27</v>
      </c>
      <c r="H8" s="2">
        <v>0.71</v>
      </c>
    </row>
    <row r="9" spans="1:8" ht="71.400000000000006" customHeight="1" thickBot="1" x14ac:dyDescent="0.35">
      <c r="A9" s="24" t="s">
        <v>32</v>
      </c>
      <c r="B9" s="2" t="s">
        <v>30</v>
      </c>
      <c r="C9" s="2">
        <v>6.4</v>
      </c>
      <c r="D9" s="2">
        <v>2.78</v>
      </c>
      <c r="E9" s="2">
        <v>0.91</v>
      </c>
      <c r="F9" s="2">
        <v>6.6</v>
      </c>
      <c r="G9" s="2">
        <v>2.31</v>
      </c>
      <c r="H9" s="2">
        <v>0.76</v>
      </c>
    </row>
    <row r="10" spans="1:8" ht="18.600000000000001" thickBot="1" x14ac:dyDescent="0.35">
      <c r="A10" s="26"/>
      <c r="B10" s="2" t="s">
        <v>31</v>
      </c>
      <c r="C10" s="2">
        <v>8.1999999999999993</v>
      </c>
      <c r="D10" s="2">
        <v>1.78</v>
      </c>
      <c r="E10" s="2">
        <v>0.56999999999999995</v>
      </c>
      <c r="F10" s="2">
        <v>8.6</v>
      </c>
      <c r="G10" s="2">
        <v>1.69</v>
      </c>
      <c r="H10" s="2">
        <v>0.56000000000000005</v>
      </c>
    </row>
  </sheetData>
  <mergeCells count="6">
    <mergeCell ref="A9:A10"/>
    <mergeCell ref="A4:A6"/>
    <mergeCell ref="C4:E4"/>
    <mergeCell ref="F4:H4"/>
    <mergeCell ref="B5:B6"/>
    <mergeCell ref="A7:A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39"/>
  <sheetViews>
    <sheetView topLeftCell="A4" zoomScale="70" zoomScaleNormal="70" workbookViewId="0">
      <selection activeCell="J5" sqref="J5"/>
    </sheetView>
  </sheetViews>
  <sheetFormatPr defaultRowHeight="14.4" x14ac:dyDescent="0.3"/>
  <cols>
    <col min="1" max="1" width="9.5546875" customWidth="1"/>
    <col min="2" max="2" width="16.21875" customWidth="1"/>
    <col min="3" max="3" width="16.6640625" customWidth="1"/>
    <col min="4" max="4" width="17.21875" customWidth="1"/>
    <col min="5" max="5" width="16.33203125" customWidth="1"/>
    <col min="6" max="6" width="17.33203125" customWidth="1"/>
    <col min="7" max="7" width="13.5546875" customWidth="1"/>
  </cols>
  <sheetData>
    <row r="2" spans="1:7" x14ac:dyDescent="0.3">
      <c r="D2" t="s">
        <v>44</v>
      </c>
    </row>
    <row r="3" spans="1:7" ht="15" thickBot="1" x14ac:dyDescent="0.35"/>
    <row r="4" spans="1:7" ht="18.600000000000001" thickBot="1" x14ac:dyDescent="0.35">
      <c r="A4" s="19" t="s">
        <v>19</v>
      </c>
      <c r="B4" s="21" t="s">
        <v>33</v>
      </c>
      <c r="C4" s="23"/>
      <c r="D4" s="23"/>
      <c r="E4" s="23"/>
      <c r="F4" s="23"/>
      <c r="G4" s="22"/>
    </row>
    <row r="5" spans="1:7" ht="34.799999999999997" customHeight="1" thickBot="1" x14ac:dyDescent="0.35">
      <c r="A5" s="29"/>
      <c r="B5" s="21" t="s">
        <v>34</v>
      </c>
      <c r="C5" s="22"/>
      <c r="D5" s="21" t="s">
        <v>35</v>
      </c>
      <c r="E5" s="22"/>
      <c r="F5" s="21" t="s">
        <v>36</v>
      </c>
      <c r="G5" s="22"/>
    </row>
    <row r="6" spans="1:7" ht="56.4" customHeight="1" thickBot="1" x14ac:dyDescent="0.35">
      <c r="A6" s="20"/>
      <c r="B6" s="12"/>
      <c r="C6" s="12"/>
      <c r="D6" s="12"/>
      <c r="E6" s="12"/>
      <c r="F6" s="12"/>
      <c r="G6" s="12"/>
    </row>
    <row r="7" spans="1:7" ht="54.6" thickBot="1" x14ac:dyDescent="0.35">
      <c r="A7" s="4" t="s">
        <v>37</v>
      </c>
      <c r="B7" s="2">
        <v>1.36</v>
      </c>
      <c r="C7" s="2">
        <v>0.83</v>
      </c>
      <c r="D7" s="2">
        <v>1.27</v>
      </c>
      <c r="E7" s="2">
        <v>0.98</v>
      </c>
      <c r="F7" s="2">
        <v>1.36</v>
      </c>
      <c r="G7" s="2">
        <v>0.84</v>
      </c>
    </row>
    <row r="8" spans="1:7" ht="54.6" thickBot="1" x14ac:dyDescent="0.35">
      <c r="A8" s="4" t="s">
        <v>38</v>
      </c>
      <c r="B8" s="2">
        <v>1.31</v>
      </c>
      <c r="C8" s="2">
        <v>0.66</v>
      </c>
      <c r="D8" s="2">
        <v>1.24</v>
      </c>
      <c r="E8" s="2">
        <v>0.66</v>
      </c>
      <c r="F8" s="2">
        <v>1.33</v>
      </c>
      <c r="G8" s="2">
        <v>0.75</v>
      </c>
    </row>
    <row r="12" spans="1:7" ht="15" thickBot="1" x14ac:dyDescent="0.35"/>
    <row r="13" spans="1:7" ht="36.6" customHeight="1" thickBot="1" x14ac:dyDescent="0.35">
      <c r="A13" s="13" t="s">
        <v>19</v>
      </c>
      <c r="B13" s="21" t="s">
        <v>33</v>
      </c>
      <c r="C13" s="23"/>
      <c r="D13" s="23"/>
      <c r="E13" s="23"/>
      <c r="F13" s="23"/>
      <c r="G13" s="22"/>
    </row>
    <row r="14" spans="1:7" ht="18.600000000000001" thickBot="1" x14ac:dyDescent="0.35">
      <c r="A14" s="14"/>
      <c r="B14" s="21" t="s">
        <v>34</v>
      </c>
      <c r="C14" s="22"/>
      <c r="D14" s="21" t="s">
        <v>35</v>
      </c>
      <c r="E14" s="22"/>
      <c r="F14" s="21" t="s">
        <v>36</v>
      </c>
      <c r="G14" s="22"/>
    </row>
    <row r="15" spans="1:7" ht="54.6" thickBot="1" x14ac:dyDescent="0.35">
      <c r="A15" s="4" t="s">
        <v>37</v>
      </c>
      <c r="B15" s="2">
        <v>1.36</v>
      </c>
      <c r="C15" s="2">
        <v>0.83</v>
      </c>
      <c r="D15" s="2">
        <v>1.27</v>
      </c>
      <c r="E15" s="2">
        <v>0.98</v>
      </c>
      <c r="F15" s="2">
        <v>1.36</v>
      </c>
      <c r="G15" s="2">
        <v>0.84</v>
      </c>
    </row>
    <row r="16" spans="1:7" ht="54.6" thickBot="1" x14ac:dyDescent="0.35">
      <c r="A16" s="4" t="s">
        <v>38</v>
      </c>
      <c r="B16" s="2">
        <v>1.31</v>
      </c>
      <c r="C16" s="2">
        <v>0.66</v>
      </c>
      <c r="D16" s="2">
        <v>1.24</v>
      </c>
      <c r="E16" s="2">
        <v>0.66</v>
      </c>
      <c r="F16" s="2">
        <v>1.33</v>
      </c>
      <c r="G16" s="2">
        <v>0.75</v>
      </c>
    </row>
    <row r="17" spans="1:7" ht="18" x14ac:dyDescent="0.3">
      <c r="A17" s="15"/>
      <c r="B17" s="15"/>
      <c r="C17" s="15"/>
      <c r="D17" s="15"/>
      <c r="E17" s="15"/>
      <c r="F17" s="15"/>
      <c r="G17" s="15"/>
    </row>
    <row r="18" spans="1:7" ht="18" x14ac:dyDescent="0.3">
      <c r="A18" s="15"/>
      <c r="B18" s="15"/>
      <c r="C18" s="15"/>
      <c r="D18" s="15"/>
      <c r="E18" s="15"/>
      <c r="F18" s="15"/>
      <c r="G18" s="15"/>
    </row>
    <row r="19" spans="1:7" ht="18" x14ac:dyDescent="0.3">
      <c r="A19" s="15"/>
      <c r="B19" s="15"/>
      <c r="C19" s="15"/>
      <c r="D19" s="15"/>
      <c r="E19" s="15"/>
      <c r="F19" s="15"/>
      <c r="G19" s="15"/>
    </row>
    <row r="20" spans="1:7" ht="18" x14ac:dyDescent="0.3">
      <c r="A20" s="15"/>
      <c r="B20" s="15"/>
      <c r="C20" s="15"/>
      <c r="D20" s="15"/>
      <c r="E20" s="15"/>
      <c r="F20" s="15"/>
      <c r="G20" s="15"/>
    </row>
    <row r="21" spans="1:7" x14ac:dyDescent="0.3">
      <c r="A21" s="16"/>
      <c r="B21" s="16"/>
      <c r="C21" s="28" t="s">
        <v>39</v>
      </c>
      <c r="D21" s="28"/>
      <c r="E21" s="27" t="s">
        <v>40</v>
      </c>
      <c r="F21" s="27"/>
    </row>
    <row r="22" spans="1:7" ht="18" customHeight="1" x14ac:dyDescent="0.3">
      <c r="A22" s="18" t="s">
        <v>34</v>
      </c>
      <c r="B22" s="18" t="s">
        <v>34</v>
      </c>
      <c r="C22" s="17">
        <v>1.36</v>
      </c>
      <c r="D22" s="17">
        <v>0.83</v>
      </c>
      <c r="E22" s="17">
        <v>1.31</v>
      </c>
      <c r="F22" s="17">
        <v>0.66</v>
      </c>
    </row>
    <row r="23" spans="1:7" ht="18" customHeight="1" x14ac:dyDescent="0.3">
      <c r="A23" s="18" t="s">
        <v>35</v>
      </c>
      <c r="B23" s="18" t="s">
        <v>35</v>
      </c>
      <c r="C23" s="17">
        <v>1.27</v>
      </c>
      <c r="D23" s="17">
        <v>0.98</v>
      </c>
      <c r="E23" s="17">
        <v>1.24</v>
      </c>
      <c r="F23" s="17">
        <v>0.66</v>
      </c>
    </row>
    <row r="24" spans="1:7" ht="18" customHeight="1" x14ac:dyDescent="0.3">
      <c r="A24" s="18" t="s">
        <v>36</v>
      </c>
      <c r="B24" s="18" t="s">
        <v>36</v>
      </c>
      <c r="C24" s="17">
        <v>1.36</v>
      </c>
      <c r="D24" s="17">
        <v>0.84</v>
      </c>
      <c r="E24" s="17">
        <v>1.33</v>
      </c>
      <c r="F24" s="17">
        <v>0.75</v>
      </c>
    </row>
    <row r="38" ht="36" customHeight="1" x14ac:dyDescent="0.3"/>
    <row r="39" ht="64.2" customHeight="1" x14ac:dyDescent="0.3"/>
  </sheetData>
  <mergeCells count="11">
    <mergeCell ref="B13:G13"/>
    <mergeCell ref="A4:A6"/>
    <mergeCell ref="B4:G4"/>
    <mergeCell ref="B5:C5"/>
    <mergeCell ref="D5:E5"/>
    <mergeCell ref="F5:G5"/>
    <mergeCell ref="E21:F21"/>
    <mergeCell ref="C21:D21"/>
    <mergeCell ref="B14:C14"/>
    <mergeCell ref="D14:E14"/>
    <mergeCell ref="F14:G14"/>
  </mergeCells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quation.3" shapeId="4102" r:id="rId3">
          <objectPr defaultSize="0" autoPict="0" r:id="rId4">
            <anchor moveWithCells="1" sizeWithCells="1">
              <from>
                <xdr:col>1</xdr:col>
                <xdr:colOff>0</xdr:colOff>
                <xdr:row>5</xdr:row>
                <xdr:rowOff>0</xdr:rowOff>
              </from>
              <to>
                <xdr:col>2</xdr:col>
                <xdr:colOff>0</xdr:colOff>
                <xdr:row>5</xdr:row>
                <xdr:rowOff>617220</xdr:rowOff>
              </to>
            </anchor>
          </objectPr>
        </oleObject>
      </mc:Choice>
      <mc:Fallback>
        <oleObject progId="Equation.3" shapeId="4102" r:id="rId3"/>
      </mc:Fallback>
    </mc:AlternateContent>
    <mc:AlternateContent xmlns:mc="http://schemas.openxmlformats.org/markup-compatibility/2006">
      <mc:Choice Requires="x14">
        <oleObject progId="Equation.3" shapeId="4101" r:id="rId5">
          <objectPr defaultSize="0" autoPict="0" r:id="rId6">
            <anchor moveWithCells="1" sizeWithCells="1">
              <from>
                <xdr:col>2</xdr:col>
                <xdr:colOff>106680</xdr:colOff>
                <xdr:row>5</xdr:row>
                <xdr:rowOff>53340</xdr:rowOff>
              </from>
              <to>
                <xdr:col>2</xdr:col>
                <xdr:colOff>1074420</xdr:colOff>
                <xdr:row>5</xdr:row>
                <xdr:rowOff>731520</xdr:rowOff>
              </to>
            </anchor>
          </objectPr>
        </oleObject>
      </mc:Choice>
      <mc:Fallback>
        <oleObject progId="Equation.3" shapeId="4101" r:id="rId5"/>
      </mc:Fallback>
    </mc:AlternateContent>
    <mc:AlternateContent xmlns:mc="http://schemas.openxmlformats.org/markup-compatibility/2006">
      <mc:Choice Requires="x14">
        <oleObject progId="Equation.3" shapeId="4100" r:id="rId7">
          <objectPr defaultSize="0" autoPict="0" r:id="rId8">
            <anchor moveWithCells="1" sizeWithCells="1">
              <from>
                <xdr:col>3</xdr:col>
                <xdr:colOff>0</xdr:colOff>
                <xdr:row>5</xdr:row>
                <xdr:rowOff>0</xdr:rowOff>
              </from>
              <to>
                <xdr:col>3</xdr:col>
                <xdr:colOff>1135380</xdr:colOff>
                <xdr:row>5</xdr:row>
                <xdr:rowOff>670560</xdr:rowOff>
              </to>
            </anchor>
          </objectPr>
        </oleObject>
      </mc:Choice>
      <mc:Fallback>
        <oleObject progId="Equation.3" shapeId="4100" r:id="rId7"/>
      </mc:Fallback>
    </mc:AlternateContent>
    <mc:AlternateContent xmlns:mc="http://schemas.openxmlformats.org/markup-compatibility/2006">
      <mc:Choice Requires="x14">
        <oleObject progId="Equation.3" shapeId="4099" r:id="rId9">
          <objectPr defaultSize="0" autoPict="0" r:id="rId10">
            <anchor moveWithCells="1" sizeWithCells="1">
              <from>
                <xdr:col>4</xdr:col>
                <xdr:colOff>0</xdr:colOff>
                <xdr:row>5</xdr:row>
                <xdr:rowOff>0</xdr:rowOff>
              </from>
              <to>
                <xdr:col>4</xdr:col>
                <xdr:colOff>944880</xdr:colOff>
                <xdr:row>5</xdr:row>
                <xdr:rowOff>731520</xdr:rowOff>
              </to>
            </anchor>
          </objectPr>
        </oleObject>
      </mc:Choice>
      <mc:Fallback>
        <oleObject progId="Equation.3" shapeId="4099" r:id="rId9"/>
      </mc:Fallback>
    </mc:AlternateContent>
    <mc:AlternateContent xmlns:mc="http://schemas.openxmlformats.org/markup-compatibility/2006">
      <mc:Choice Requires="x14">
        <oleObject progId="Equation.3" shapeId="4098" r:id="rId11">
          <objectPr defaultSize="0" autoPict="0" r:id="rId12">
            <anchor moveWithCells="1" sizeWithCells="1">
              <from>
                <xdr:col>5</xdr:col>
                <xdr:colOff>0</xdr:colOff>
                <xdr:row>5</xdr:row>
                <xdr:rowOff>0</xdr:rowOff>
              </from>
              <to>
                <xdr:col>5</xdr:col>
                <xdr:colOff>1013460</xdr:colOff>
                <xdr:row>5</xdr:row>
                <xdr:rowOff>678180</xdr:rowOff>
              </to>
            </anchor>
          </objectPr>
        </oleObject>
      </mc:Choice>
      <mc:Fallback>
        <oleObject progId="Equation.3" shapeId="4098" r:id="rId11"/>
      </mc:Fallback>
    </mc:AlternateContent>
    <mc:AlternateContent xmlns:mc="http://schemas.openxmlformats.org/markup-compatibility/2006">
      <mc:Choice Requires="x14">
        <oleObject progId="Equation.3" shapeId="4097" r:id="rId13">
          <objectPr defaultSize="0" autoPict="0" r:id="rId14">
            <anchor moveWithCells="1" sizeWithCells="1">
              <from>
                <xdr:col>6</xdr:col>
                <xdr:colOff>0</xdr:colOff>
                <xdr:row>5</xdr:row>
                <xdr:rowOff>0</xdr:rowOff>
              </from>
              <to>
                <xdr:col>6</xdr:col>
                <xdr:colOff>868680</xdr:colOff>
                <xdr:row>5</xdr:row>
                <xdr:rowOff>754380</xdr:rowOff>
              </to>
            </anchor>
          </objectPr>
        </oleObject>
      </mc:Choice>
      <mc:Fallback>
        <oleObject progId="Equation.3" shapeId="4097" r:id="rId13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11"/>
  <sheetViews>
    <sheetView topLeftCell="C1" workbookViewId="0">
      <selection activeCell="I8" sqref="I8"/>
    </sheetView>
  </sheetViews>
  <sheetFormatPr defaultRowHeight="14.4" x14ac:dyDescent="0.3"/>
  <cols>
    <col min="2" max="2" width="11.109375" customWidth="1"/>
    <col min="13" max="13" width="4.33203125" customWidth="1"/>
  </cols>
  <sheetData>
    <row r="3" spans="2:13" x14ac:dyDescent="0.3">
      <c r="F3" t="s">
        <v>45</v>
      </c>
    </row>
    <row r="4" spans="2:13" ht="18.600000000000001" thickBot="1" x14ac:dyDescent="0.35">
      <c r="B4" s="31"/>
    </row>
    <row r="5" spans="2:13" ht="18.600000000000001" customHeight="1" thickBot="1" x14ac:dyDescent="0.35">
      <c r="B5" s="19" t="s">
        <v>46</v>
      </c>
      <c r="C5" s="21" t="s">
        <v>47</v>
      </c>
      <c r="D5" s="23"/>
      <c r="E5" s="23"/>
      <c r="F5" s="23"/>
      <c r="G5" s="23"/>
      <c r="H5" s="21" t="s">
        <v>48</v>
      </c>
      <c r="I5" s="23"/>
      <c r="J5" s="23"/>
      <c r="K5" s="23"/>
      <c r="L5" s="47"/>
      <c r="M5" s="41"/>
    </row>
    <row r="6" spans="2:13" ht="18.600000000000001" customHeight="1" thickBot="1" x14ac:dyDescent="0.35">
      <c r="B6" s="29"/>
      <c r="C6" s="24" t="s">
        <v>5</v>
      </c>
      <c r="D6" s="21" t="s">
        <v>49</v>
      </c>
      <c r="E6" s="23"/>
      <c r="F6" s="23"/>
      <c r="G6" s="23"/>
      <c r="H6" s="45" t="s">
        <v>5</v>
      </c>
      <c r="I6" s="21" t="s">
        <v>49</v>
      </c>
      <c r="J6" s="23"/>
      <c r="K6" s="23"/>
      <c r="L6" s="47"/>
      <c r="M6" s="42"/>
    </row>
    <row r="7" spans="2:13" ht="54" customHeight="1" thickBot="1" x14ac:dyDescent="0.35">
      <c r="B7" s="20"/>
      <c r="C7" s="26"/>
      <c r="D7" s="32" t="s">
        <v>50</v>
      </c>
      <c r="E7" s="32" t="s">
        <v>51</v>
      </c>
      <c r="F7" s="32" t="s">
        <v>52</v>
      </c>
      <c r="G7" s="43" t="s">
        <v>53</v>
      </c>
      <c r="H7" s="46"/>
      <c r="I7" s="44" t="s">
        <v>50</v>
      </c>
      <c r="J7" s="44" t="s">
        <v>51</v>
      </c>
      <c r="K7" s="44" t="s">
        <v>52</v>
      </c>
      <c r="L7" s="44" t="s">
        <v>53</v>
      </c>
      <c r="M7" s="33"/>
    </row>
    <row r="8" spans="2:13" ht="35.4" thickBot="1" x14ac:dyDescent="0.35">
      <c r="B8" s="40" t="s">
        <v>54</v>
      </c>
      <c r="C8" s="2">
        <v>26</v>
      </c>
      <c r="D8" s="2">
        <v>4</v>
      </c>
      <c r="E8" s="2">
        <v>12</v>
      </c>
      <c r="F8" s="2">
        <v>6</v>
      </c>
      <c r="G8" s="2">
        <v>6</v>
      </c>
      <c r="H8" s="2">
        <v>28</v>
      </c>
      <c r="I8" s="2">
        <v>3</v>
      </c>
      <c r="J8" s="2">
        <v>11</v>
      </c>
      <c r="K8" s="2">
        <v>12</v>
      </c>
      <c r="L8" s="35"/>
      <c r="M8" s="33"/>
    </row>
    <row r="9" spans="2:13" ht="35.4" thickBot="1" x14ac:dyDescent="0.35">
      <c r="B9" s="40" t="s">
        <v>8</v>
      </c>
      <c r="C9" s="2">
        <v>25</v>
      </c>
      <c r="D9" s="2">
        <v>3</v>
      </c>
      <c r="E9" s="2">
        <v>10</v>
      </c>
      <c r="F9" s="2">
        <v>8</v>
      </c>
      <c r="G9" s="2">
        <v>4</v>
      </c>
      <c r="H9" s="2">
        <v>26</v>
      </c>
      <c r="I9" s="2">
        <v>2</v>
      </c>
      <c r="J9" s="2">
        <v>11</v>
      </c>
      <c r="K9" s="2">
        <v>13</v>
      </c>
      <c r="L9" s="35"/>
      <c r="M9" s="33"/>
    </row>
    <row r="10" spans="2:13" ht="18.600000000000001" thickBot="1" x14ac:dyDescent="0.35">
      <c r="B10" s="34"/>
      <c r="C10" s="2">
        <f>C8+C9</f>
        <v>51</v>
      </c>
      <c r="D10" s="2">
        <f t="shared" ref="D10:L10" si="0">D8+D9</f>
        <v>7</v>
      </c>
      <c r="E10" s="2">
        <f t="shared" si="0"/>
        <v>22</v>
      </c>
      <c r="F10" s="2">
        <f t="shared" si="0"/>
        <v>14</v>
      </c>
      <c r="G10" s="2">
        <f t="shared" si="0"/>
        <v>10</v>
      </c>
      <c r="H10" s="2">
        <f t="shared" si="0"/>
        <v>54</v>
      </c>
      <c r="I10" s="2">
        <f t="shared" si="0"/>
        <v>5</v>
      </c>
      <c r="J10" s="2">
        <f t="shared" si="0"/>
        <v>22</v>
      </c>
      <c r="K10" s="2">
        <f t="shared" si="0"/>
        <v>25</v>
      </c>
      <c r="L10" s="2"/>
      <c r="M10" s="33"/>
    </row>
    <row r="11" spans="2:13" ht="18" x14ac:dyDescent="0.3">
      <c r="B11" s="39"/>
    </row>
  </sheetData>
  <mergeCells count="7">
    <mergeCell ref="B5:B7"/>
    <mergeCell ref="C5:G5"/>
    <mergeCell ref="C6:C7"/>
    <mergeCell ref="D6:G6"/>
    <mergeCell ref="H6:H7"/>
    <mergeCell ref="I6:L6"/>
    <mergeCell ref="H5:L5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L12"/>
  <sheetViews>
    <sheetView zoomScale="85" zoomScaleNormal="85" workbookViewId="0">
      <selection activeCell="B7" sqref="B7:L12"/>
    </sheetView>
  </sheetViews>
  <sheetFormatPr defaultRowHeight="14.4" x14ac:dyDescent="0.3"/>
  <sheetData>
    <row r="4" spans="2:12" ht="18" x14ac:dyDescent="0.35">
      <c r="C4" s="48" t="s">
        <v>55</v>
      </c>
    </row>
    <row r="6" spans="2:12" ht="15" thickBot="1" x14ac:dyDescent="0.35"/>
    <row r="7" spans="2:12" ht="31.8" customHeight="1" thickBot="1" x14ac:dyDescent="0.35">
      <c r="B7" s="19" t="s">
        <v>46</v>
      </c>
      <c r="C7" s="21" t="s">
        <v>47</v>
      </c>
      <c r="D7" s="23"/>
      <c r="E7" s="23"/>
      <c r="F7" s="23"/>
      <c r="G7" s="22"/>
      <c r="H7" s="37" t="s">
        <v>48</v>
      </c>
      <c r="I7" s="36"/>
      <c r="J7" s="36"/>
      <c r="K7" s="36"/>
      <c r="L7" s="38"/>
    </row>
    <row r="8" spans="2:12" ht="30" customHeight="1" thickBot="1" x14ac:dyDescent="0.35">
      <c r="B8" s="29"/>
      <c r="C8" s="24" t="s">
        <v>5</v>
      </c>
      <c r="D8" s="21" t="s">
        <v>49</v>
      </c>
      <c r="E8" s="23"/>
      <c r="F8" s="23"/>
      <c r="G8" s="22"/>
      <c r="H8" s="24" t="s">
        <v>5</v>
      </c>
      <c r="I8" s="21" t="s">
        <v>49</v>
      </c>
      <c r="J8" s="23"/>
      <c r="K8" s="23"/>
      <c r="L8" s="22"/>
    </row>
    <row r="9" spans="2:12" ht="58.8" customHeight="1" thickBot="1" x14ac:dyDescent="0.35">
      <c r="B9" s="20"/>
      <c r="C9" s="26"/>
      <c r="D9" s="32" t="s">
        <v>50</v>
      </c>
      <c r="E9" s="32" t="s">
        <v>51</v>
      </c>
      <c r="F9" s="32" t="s">
        <v>52</v>
      </c>
      <c r="G9" s="32" t="s">
        <v>53</v>
      </c>
      <c r="H9" s="26"/>
      <c r="I9" s="32" t="s">
        <v>50</v>
      </c>
      <c r="J9" s="32" t="s">
        <v>51</v>
      </c>
      <c r="K9" s="32" t="s">
        <v>52</v>
      </c>
      <c r="L9" s="32" t="s">
        <v>53</v>
      </c>
    </row>
    <row r="10" spans="2:12" ht="35.4" thickBot="1" x14ac:dyDescent="0.35">
      <c r="B10" s="40" t="s">
        <v>54</v>
      </c>
      <c r="C10" s="2">
        <v>26</v>
      </c>
      <c r="D10" s="2">
        <v>4</v>
      </c>
      <c r="E10" s="2">
        <v>12</v>
      </c>
      <c r="F10" s="2">
        <v>6</v>
      </c>
      <c r="G10" s="2">
        <v>6</v>
      </c>
      <c r="H10" s="2">
        <v>28</v>
      </c>
      <c r="I10" s="2">
        <v>3</v>
      </c>
      <c r="J10" s="2">
        <v>11</v>
      </c>
      <c r="K10" s="2">
        <v>12</v>
      </c>
      <c r="L10" s="2"/>
    </row>
    <row r="11" spans="2:12" ht="35.4" thickBot="1" x14ac:dyDescent="0.35">
      <c r="B11" s="40" t="s">
        <v>8</v>
      </c>
      <c r="C11" s="2">
        <v>25</v>
      </c>
      <c r="D11" s="2">
        <v>3</v>
      </c>
      <c r="E11" s="2">
        <v>10</v>
      </c>
      <c r="F11" s="2">
        <v>8</v>
      </c>
      <c r="G11" s="2">
        <v>4</v>
      </c>
      <c r="H11" s="2">
        <v>26</v>
      </c>
      <c r="I11" s="2">
        <v>2</v>
      </c>
      <c r="J11" s="2">
        <v>11</v>
      </c>
      <c r="K11" s="2">
        <v>13</v>
      </c>
      <c r="L11" s="2"/>
    </row>
    <row r="12" spans="2:12" ht="18.600000000000001" thickBot="1" x14ac:dyDescent="0.35">
      <c r="B12" s="40"/>
      <c r="C12" s="2">
        <f>C10+C11</f>
        <v>51</v>
      </c>
      <c r="D12" s="2">
        <f t="shared" ref="D12:L12" si="0">D10+D11</f>
        <v>7</v>
      </c>
      <c r="E12" s="2">
        <f t="shared" si="0"/>
        <v>22</v>
      </c>
      <c r="F12" s="2">
        <f t="shared" si="0"/>
        <v>14</v>
      </c>
      <c r="G12" s="2">
        <f t="shared" si="0"/>
        <v>10</v>
      </c>
      <c r="H12" s="2">
        <f t="shared" si="0"/>
        <v>54</v>
      </c>
      <c r="I12" s="2">
        <f t="shared" si="0"/>
        <v>5</v>
      </c>
      <c r="J12" s="2">
        <f t="shared" si="0"/>
        <v>22</v>
      </c>
      <c r="K12" s="2">
        <f t="shared" si="0"/>
        <v>25</v>
      </c>
      <c r="L12" s="2"/>
    </row>
  </sheetData>
  <mergeCells count="7">
    <mergeCell ref="B7:B9"/>
    <mergeCell ref="C7:G7"/>
    <mergeCell ref="H7:L7"/>
    <mergeCell ref="C8:C9"/>
    <mergeCell ref="D8:G8"/>
    <mergeCell ref="H8:H9"/>
    <mergeCell ref="I8:L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M9"/>
  <sheetViews>
    <sheetView topLeftCell="B1" workbookViewId="0">
      <selection activeCell="F8" sqref="C8:F8"/>
    </sheetView>
  </sheetViews>
  <sheetFormatPr defaultRowHeight="14.4" x14ac:dyDescent="0.3"/>
  <sheetData>
    <row r="2" spans="3:13" ht="18" x14ac:dyDescent="0.35">
      <c r="D2" s="48" t="s">
        <v>56</v>
      </c>
    </row>
    <row r="3" spans="3:13" ht="15" thickBot="1" x14ac:dyDescent="0.35"/>
    <row r="4" spans="3:13" ht="28.2" customHeight="1" thickBot="1" x14ac:dyDescent="0.35">
      <c r="C4" s="19" t="s">
        <v>46</v>
      </c>
      <c r="D4" s="21" t="s">
        <v>47</v>
      </c>
      <c r="E4" s="23"/>
      <c r="F4" s="23"/>
      <c r="G4" s="23"/>
      <c r="H4" s="22"/>
      <c r="I4" s="37" t="s">
        <v>48</v>
      </c>
      <c r="J4" s="36"/>
      <c r="K4" s="36"/>
      <c r="L4" s="36"/>
      <c r="M4" s="38"/>
    </row>
    <row r="5" spans="3:13" ht="25.2" customHeight="1" thickBot="1" x14ac:dyDescent="0.35">
      <c r="C5" s="29"/>
      <c r="D5" s="24" t="s">
        <v>5</v>
      </c>
      <c r="E5" s="21" t="s">
        <v>49</v>
      </c>
      <c r="F5" s="23"/>
      <c r="G5" s="23"/>
      <c r="H5" s="22"/>
      <c r="I5" s="24" t="s">
        <v>5</v>
      </c>
      <c r="J5" s="21" t="s">
        <v>49</v>
      </c>
      <c r="K5" s="23"/>
      <c r="L5" s="23"/>
      <c r="M5" s="22"/>
    </row>
    <row r="6" spans="3:13" ht="53.4" customHeight="1" thickBot="1" x14ac:dyDescent="0.35">
      <c r="C6" s="20"/>
      <c r="D6" s="26"/>
      <c r="E6" s="32" t="s">
        <v>50</v>
      </c>
      <c r="F6" s="32" t="s">
        <v>51</v>
      </c>
      <c r="G6" s="32" t="s">
        <v>52</v>
      </c>
      <c r="H6" s="32" t="s">
        <v>53</v>
      </c>
      <c r="I6" s="26"/>
      <c r="J6" s="32" t="s">
        <v>50</v>
      </c>
      <c r="K6" s="32" t="s">
        <v>51</v>
      </c>
      <c r="L6" s="32" t="s">
        <v>52</v>
      </c>
      <c r="M6" s="32" t="s">
        <v>53</v>
      </c>
    </row>
    <row r="7" spans="3:13" ht="35.4" thickBot="1" x14ac:dyDescent="0.35">
      <c r="C7" s="40" t="s">
        <v>54</v>
      </c>
      <c r="D7" s="2">
        <v>26</v>
      </c>
      <c r="E7" s="2">
        <v>4</v>
      </c>
      <c r="F7" s="2">
        <v>12</v>
      </c>
      <c r="G7" s="2">
        <v>6</v>
      </c>
      <c r="H7" s="2">
        <v>6</v>
      </c>
      <c r="I7" s="2">
        <v>28</v>
      </c>
      <c r="J7" s="2">
        <v>3</v>
      </c>
      <c r="K7" s="2">
        <v>11</v>
      </c>
      <c r="L7" s="2">
        <v>12</v>
      </c>
      <c r="M7" s="2"/>
    </row>
    <row r="8" spans="3:13" ht="35.4" thickBot="1" x14ac:dyDescent="0.35">
      <c r="C8" s="40" t="s">
        <v>8</v>
      </c>
      <c r="D8" s="2">
        <v>25</v>
      </c>
      <c r="E8" s="2">
        <v>3</v>
      </c>
      <c r="F8" s="2">
        <v>10</v>
      </c>
      <c r="G8" s="2">
        <v>8</v>
      </c>
      <c r="H8" s="2">
        <v>4</v>
      </c>
      <c r="I8" s="2">
        <v>26</v>
      </c>
      <c r="J8" s="2">
        <v>2</v>
      </c>
      <c r="K8" s="2">
        <v>11</v>
      </c>
      <c r="L8" s="2">
        <v>13</v>
      </c>
      <c r="M8" s="2"/>
    </row>
    <row r="9" spans="3:13" ht="18.600000000000001" thickBot="1" x14ac:dyDescent="0.35">
      <c r="C9" s="40"/>
      <c r="D9" s="2">
        <f>D7+D8</f>
        <v>51</v>
      </c>
      <c r="E9" s="2">
        <f t="shared" ref="E9:M9" si="0">E7+E8</f>
        <v>7</v>
      </c>
      <c r="F9" s="2">
        <f t="shared" si="0"/>
        <v>22</v>
      </c>
      <c r="G9" s="2">
        <f t="shared" si="0"/>
        <v>14</v>
      </c>
      <c r="H9" s="2">
        <f t="shared" si="0"/>
        <v>10</v>
      </c>
      <c r="I9" s="2">
        <f t="shared" si="0"/>
        <v>54</v>
      </c>
      <c r="J9" s="2">
        <f t="shared" si="0"/>
        <v>5</v>
      </c>
      <c r="K9" s="2">
        <f t="shared" si="0"/>
        <v>22</v>
      </c>
      <c r="L9" s="2">
        <f t="shared" si="0"/>
        <v>25</v>
      </c>
      <c r="M9" s="2"/>
    </row>
  </sheetData>
  <mergeCells count="7">
    <mergeCell ref="C4:C6"/>
    <mergeCell ref="D4:H4"/>
    <mergeCell ref="I4:M4"/>
    <mergeCell ref="D5:D6"/>
    <mergeCell ref="E5:H5"/>
    <mergeCell ref="I5:I6"/>
    <mergeCell ref="J5:M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2:H6"/>
  <sheetViews>
    <sheetView topLeftCell="C1" workbookViewId="0">
      <selection activeCell="G8" sqref="G8"/>
    </sheetView>
  </sheetViews>
  <sheetFormatPr defaultRowHeight="14.4" x14ac:dyDescent="0.3"/>
  <cols>
    <col min="3" max="3" width="16.88671875" customWidth="1"/>
    <col min="4" max="4" width="17.77734375" customWidth="1"/>
    <col min="5" max="6" width="17.21875" customWidth="1"/>
    <col min="7" max="7" width="18.88671875" customWidth="1"/>
  </cols>
  <sheetData>
    <row r="2" spans="3:8" ht="18.600000000000001" thickBot="1" x14ac:dyDescent="0.35">
      <c r="C2" s="39" t="s">
        <v>57</v>
      </c>
    </row>
    <row r="3" spans="3:8" ht="36.6" thickBot="1" x14ac:dyDescent="0.35">
      <c r="C3" s="49" t="s">
        <v>58</v>
      </c>
      <c r="D3" s="50" t="s">
        <v>50</v>
      </c>
      <c r="E3" s="50" t="s">
        <v>51</v>
      </c>
      <c r="F3" s="50" t="s">
        <v>52</v>
      </c>
      <c r="G3" s="50" t="s">
        <v>53</v>
      </c>
      <c r="H3" s="50"/>
    </row>
    <row r="4" spans="3:8" ht="36.6" thickBot="1" x14ac:dyDescent="0.35">
      <c r="C4" s="51" t="s">
        <v>47</v>
      </c>
      <c r="D4" s="52"/>
      <c r="E4" s="52"/>
      <c r="F4" s="52"/>
      <c r="G4" s="52"/>
      <c r="H4" s="52"/>
    </row>
    <row r="5" spans="3:8" ht="36.6" thickBot="1" x14ac:dyDescent="0.35">
      <c r="C5" s="51" t="s">
        <v>59</v>
      </c>
      <c r="D5" s="52"/>
      <c r="E5" s="52"/>
      <c r="F5" s="52"/>
      <c r="G5" s="52"/>
      <c r="H5" s="52"/>
    </row>
    <row r="6" spans="3:8" ht="18.600000000000001" thickBot="1" x14ac:dyDescent="0.35">
      <c r="C6" s="51"/>
      <c r="D6" s="52"/>
      <c r="E6" s="52"/>
      <c r="F6" s="52"/>
      <c r="G6" s="52"/>
      <c r="H6" s="35"/>
    </row>
  </sheetData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quation.3" shapeId="11278" r:id="rId3">
          <objectPr defaultSize="0" autoPict="0" r:id="rId4">
            <anchor moveWithCells="1" sizeWithCells="1">
              <from>
                <xdr:col>3</xdr:col>
                <xdr:colOff>0</xdr:colOff>
                <xdr:row>3</xdr:row>
                <xdr:rowOff>0</xdr:rowOff>
              </from>
              <to>
                <xdr:col>3</xdr:col>
                <xdr:colOff>487680</xdr:colOff>
                <xdr:row>3</xdr:row>
                <xdr:rowOff>220980</xdr:rowOff>
              </to>
            </anchor>
          </objectPr>
        </oleObject>
      </mc:Choice>
      <mc:Fallback>
        <oleObject progId="Equation.3" shapeId="11278" r:id="rId3"/>
      </mc:Fallback>
    </mc:AlternateContent>
    <mc:AlternateContent xmlns:mc="http://schemas.openxmlformats.org/markup-compatibility/2006">
      <mc:Choice Requires="x14">
        <oleObject progId="Equation.3" shapeId="11277" r:id="rId5">
          <objectPr defaultSize="0" autoPict="0" r:id="rId6">
            <anchor moveWithCells="1" sizeWithCells="1">
              <from>
                <xdr:col>4</xdr:col>
                <xdr:colOff>0</xdr:colOff>
                <xdr:row>3</xdr:row>
                <xdr:rowOff>0</xdr:rowOff>
              </from>
              <to>
                <xdr:col>4</xdr:col>
                <xdr:colOff>487680</xdr:colOff>
                <xdr:row>3</xdr:row>
                <xdr:rowOff>220980</xdr:rowOff>
              </to>
            </anchor>
          </objectPr>
        </oleObject>
      </mc:Choice>
      <mc:Fallback>
        <oleObject progId="Equation.3" shapeId="11277" r:id="rId5"/>
      </mc:Fallback>
    </mc:AlternateContent>
    <mc:AlternateContent xmlns:mc="http://schemas.openxmlformats.org/markup-compatibility/2006">
      <mc:Choice Requires="x14">
        <oleObject progId="Equation.3" shapeId="11276" r:id="rId7">
          <objectPr defaultSize="0" autoPict="0" r:id="rId8">
            <anchor moveWithCells="1" sizeWithCells="1">
              <from>
                <xdr:col>5</xdr:col>
                <xdr:colOff>0</xdr:colOff>
                <xdr:row>3</xdr:row>
                <xdr:rowOff>0</xdr:rowOff>
              </from>
              <to>
                <xdr:col>5</xdr:col>
                <xdr:colOff>541020</xdr:colOff>
                <xdr:row>3</xdr:row>
                <xdr:rowOff>228600</xdr:rowOff>
              </to>
            </anchor>
          </objectPr>
        </oleObject>
      </mc:Choice>
      <mc:Fallback>
        <oleObject progId="Equation.3" shapeId="11276" r:id="rId7"/>
      </mc:Fallback>
    </mc:AlternateContent>
    <mc:AlternateContent xmlns:mc="http://schemas.openxmlformats.org/markup-compatibility/2006">
      <mc:Choice Requires="x14">
        <oleObject progId="Equation.3" shapeId="11275" r:id="rId9">
          <objectPr defaultSize="0" autoPict="0" r:id="rId10">
            <anchor moveWithCells="1" sizeWithCells="1">
              <from>
                <xdr:col>6</xdr:col>
                <xdr:colOff>0</xdr:colOff>
                <xdr:row>3</xdr:row>
                <xdr:rowOff>0</xdr:rowOff>
              </from>
              <to>
                <xdr:col>6</xdr:col>
                <xdr:colOff>495300</xdr:colOff>
                <xdr:row>3</xdr:row>
                <xdr:rowOff>220980</xdr:rowOff>
              </to>
            </anchor>
          </objectPr>
        </oleObject>
      </mc:Choice>
      <mc:Fallback>
        <oleObject progId="Equation.3" shapeId="11275" r:id="rId9"/>
      </mc:Fallback>
    </mc:AlternateContent>
    <mc:AlternateContent xmlns:mc="http://schemas.openxmlformats.org/markup-compatibility/2006">
      <mc:Choice Requires="x14">
        <oleObject progId="Equation.3" shapeId="11274" r:id="rId11">
          <objectPr defaultSize="0" autoPict="0" r:id="rId12">
            <anchor moveWithCells="1" sizeWithCells="1">
              <from>
                <xdr:col>7</xdr:col>
                <xdr:colOff>0</xdr:colOff>
                <xdr:row>3</xdr:row>
                <xdr:rowOff>0</xdr:rowOff>
              </from>
              <to>
                <xdr:col>7</xdr:col>
                <xdr:colOff>480060</xdr:colOff>
                <xdr:row>3</xdr:row>
                <xdr:rowOff>220980</xdr:rowOff>
              </to>
            </anchor>
          </objectPr>
        </oleObject>
      </mc:Choice>
      <mc:Fallback>
        <oleObject progId="Equation.3" shapeId="11274" r:id="rId11"/>
      </mc:Fallback>
    </mc:AlternateContent>
    <mc:AlternateContent xmlns:mc="http://schemas.openxmlformats.org/markup-compatibility/2006">
      <mc:Choice Requires="x14">
        <oleObject progId="Equation.3" shapeId="11273" r:id="rId13">
          <objectPr defaultSize="0" autoPict="0" r:id="rId14">
            <anchor moveWithCells="1" sizeWithCells="1">
              <from>
                <xdr:col>3</xdr:col>
                <xdr:colOff>0</xdr:colOff>
                <xdr:row>4</xdr:row>
                <xdr:rowOff>0</xdr:rowOff>
              </from>
              <to>
                <xdr:col>3</xdr:col>
                <xdr:colOff>480060</xdr:colOff>
                <xdr:row>4</xdr:row>
                <xdr:rowOff>220980</xdr:rowOff>
              </to>
            </anchor>
          </objectPr>
        </oleObject>
      </mc:Choice>
      <mc:Fallback>
        <oleObject progId="Equation.3" shapeId="11273" r:id="rId13"/>
      </mc:Fallback>
    </mc:AlternateContent>
    <mc:AlternateContent xmlns:mc="http://schemas.openxmlformats.org/markup-compatibility/2006">
      <mc:Choice Requires="x14">
        <oleObject progId="Equation.3" shapeId="11272" r:id="rId15">
          <objectPr defaultSize="0" autoPict="0" r:id="rId16">
            <anchor moveWithCells="1" sizeWithCells="1">
              <from>
                <xdr:col>4</xdr:col>
                <xdr:colOff>0</xdr:colOff>
                <xdr:row>4</xdr:row>
                <xdr:rowOff>0</xdr:rowOff>
              </from>
              <to>
                <xdr:col>4</xdr:col>
                <xdr:colOff>502920</xdr:colOff>
                <xdr:row>4</xdr:row>
                <xdr:rowOff>220980</xdr:rowOff>
              </to>
            </anchor>
          </objectPr>
        </oleObject>
      </mc:Choice>
      <mc:Fallback>
        <oleObject progId="Equation.3" shapeId="11272" r:id="rId15"/>
      </mc:Fallback>
    </mc:AlternateContent>
    <mc:AlternateContent xmlns:mc="http://schemas.openxmlformats.org/markup-compatibility/2006">
      <mc:Choice Requires="x14">
        <oleObject progId="Equation.3" shapeId="11271" r:id="rId17">
          <objectPr defaultSize="0" autoPict="0" r:id="rId18">
            <anchor moveWithCells="1" sizeWithCells="1">
              <from>
                <xdr:col>5</xdr:col>
                <xdr:colOff>0</xdr:colOff>
                <xdr:row>4</xdr:row>
                <xdr:rowOff>0</xdr:rowOff>
              </from>
              <to>
                <xdr:col>5</xdr:col>
                <xdr:colOff>563880</xdr:colOff>
                <xdr:row>4</xdr:row>
                <xdr:rowOff>228600</xdr:rowOff>
              </to>
            </anchor>
          </objectPr>
        </oleObject>
      </mc:Choice>
      <mc:Fallback>
        <oleObject progId="Equation.3" shapeId="11271" r:id="rId17"/>
      </mc:Fallback>
    </mc:AlternateContent>
    <mc:AlternateContent xmlns:mc="http://schemas.openxmlformats.org/markup-compatibility/2006">
      <mc:Choice Requires="x14">
        <oleObject progId="Equation.3" shapeId="11270" r:id="rId19">
          <objectPr defaultSize="0" autoPict="0" r:id="rId20">
            <anchor moveWithCells="1" sizeWithCells="1">
              <from>
                <xdr:col>6</xdr:col>
                <xdr:colOff>0</xdr:colOff>
                <xdr:row>4</xdr:row>
                <xdr:rowOff>0</xdr:rowOff>
              </from>
              <to>
                <xdr:col>6</xdr:col>
                <xdr:colOff>563880</xdr:colOff>
                <xdr:row>4</xdr:row>
                <xdr:rowOff>220980</xdr:rowOff>
              </to>
            </anchor>
          </objectPr>
        </oleObject>
      </mc:Choice>
      <mc:Fallback>
        <oleObject progId="Equation.3" shapeId="11270" r:id="rId19"/>
      </mc:Fallback>
    </mc:AlternateContent>
    <mc:AlternateContent xmlns:mc="http://schemas.openxmlformats.org/markup-compatibility/2006">
      <mc:Choice Requires="x14">
        <oleObject progId="Equation.3" shapeId="11269" r:id="rId21">
          <objectPr defaultSize="0" autoPict="0" r:id="rId22">
            <anchor moveWithCells="1" sizeWithCells="1">
              <from>
                <xdr:col>7</xdr:col>
                <xdr:colOff>0</xdr:colOff>
                <xdr:row>4</xdr:row>
                <xdr:rowOff>0</xdr:rowOff>
              </from>
              <to>
                <xdr:col>7</xdr:col>
                <xdr:colOff>487680</xdr:colOff>
                <xdr:row>4</xdr:row>
                <xdr:rowOff>220980</xdr:rowOff>
              </to>
            </anchor>
          </objectPr>
        </oleObject>
      </mc:Choice>
      <mc:Fallback>
        <oleObject progId="Equation.3" shapeId="11269" r:id="rId21"/>
      </mc:Fallback>
    </mc:AlternateContent>
    <mc:AlternateContent xmlns:mc="http://schemas.openxmlformats.org/markup-compatibility/2006">
      <mc:Choice Requires="x14">
        <oleObject progId="Equation.3" shapeId="11268" r:id="rId23">
          <objectPr defaultSize="0" autoPict="0" r:id="rId24">
            <anchor moveWithCells="1" sizeWithCells="1">
              <from>
                <xdr:col>3</xdr:col>
                <xdr:colOff>0</xdr:colOff>
                <xdr:row>5</xdr:row>
                <xdr:rowOff>30480</xdr:rowOff>
              </from>
              <to>
                <xdr:col>3</xdr:col>
                <xdr:colOff>1196340</xdr:colOff>
                <xdr:row>5</xdr:row>
                <xdr:rowOff>213360</xdr:rowOff>
              </to>
            </anchor>
          </objectPr>
        </oleObject>
      </mc:Choice>
      <mc:Fallback>
        <oleObject progId="Equation.3" shapeId="11268" r:id="rId23"/>
      </mc:Fallback>
    </mc:AlternateContent>
    <mc:AlternateContent xmlns:mc="http://schemas.openxmlformats.org/markup-compatibility/2006">
      <mc:Choice Requires="x14">
        <oleObject progId="Equation.3" shapeId="11267" r:id="rId25">
          <objectPr defaultSize="0" autoPict="0" r:id="rId26">
            <anchor moveWithCells="1" sizeWithCells="1">
              <from>
                <xdr:col>4</xdr:col>
                <xdr:colOff>0</xdr:colOff>
                <xdr:row>5</xdr:row>
                <xdr:rowOff>53340</xdr:rowOff>
              </from>
              <to>
                <xdr:col>4</xdr:col>
                <xdr:colOff>1150620</xdr:colOff>
                <xdr:row>5</xdr:row>
                <xdr:rowOff>220980</xdr:rowOff>
              </to>
            </anchor>
          </objectPr>
        </oleObject>
      </mc:Choice>
      <mc:Fallback>
        <oleObject progId="Equation.3" shapeId="11267" r:id="rId25"/>
      </mc:Fallback>
    </mc:AlternateContent>
    <mc:AlternateContent xmlns:mc="http://schemas.openxmlformats.org/markup-compatibility/2006">
      <mc:Choice Requires="x14">
        <oleObject progId="Equation.3" shapeId="11266" r:id="rId27">
          <objectPr defaultSize="0" autoPict="0" r:id="rId28">
            <anchor moveWithCells="1" sizeWithCells="1">
              <from>
                <xdr:col>5</xdr:col>
                <xdr:colOff>0</xdr:colOff>
                <xdr:row>5</xdr:row>
                <xdr:rowOff>53340</xdr:rowOff>
              </from>
              <to>
                <xdr:col>5</xdr:col>
                <xdr:colOff>1158240</xdr:colOff>
                <xdr:row>5</xdr:row>
                <xdr:rowOff>228600</xdr:rowOff>
              </to>
            </anchor>
          </objectPr>
        </oleObject>
      </mc:Choice>
      <mc:Fallback>
        <oleObject progId="Equation.3" shapeId="11266" r:id="rId27"/>
      </mc:Fallback>
    </mc:AlternateContent>
    <mc:AlternateContent xmlns:mc="http://schemas.openxmlformats.org/markup-compatibility/2006">
      <mc:Choice Requires="x14">
        <oleObject progId="Equation.3" shapeId="11265" r:id="rId29">
          <objectPr defaultSize="0" autoPict="0" r:id="rId30">
            <anchor moveWithCells="1" sizeWithCells="1">
              <from>
                <xdr:col>6</xdr:col>
                <xdr:colOff>0</xdr:colOff>
                <xdr:row>5</xdr:row>
                <xdr:rowOff>45720</xdr:rowOff>
              </from>
              <to>
                <xdr:col>6</xdr:col>
                <xdr:colOff>1264920</xdr:colOff>
                <xdr:row>5</xdr:row>
                <xdr:rowOff>220980</xdr:rowOff>
              </to>
            </anchor>
          </objectPr>
        </oleObject>
      </mc:Choice>
      <mc:Fallback>
        <oleObject progId="Equation.3" shapeId="11265" r:id="rId29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4"/>
  <sheetViews>
    <sheetView workbookViewId="0">
      <selection activeCell="C17" sqref="C17"/>
    </sheetView>
  </sheetViews>
  <sheetFormatPr defaultRowHeight="14.4" x14ac:dyDescent="0.3"/>
  <cols>
    <col min="3" max="3" width="18.33203125" customWidth="1"/>
  </cols>
  <sheetData>
    <row r="2" spans="2:15" ht="18" x14ac:dyDescent="0.3">
      <c r="B2" s="53" t="s">
        <v>60</v>
      </c>
      <c r="C2" s="53"/>
      <c r="D2" s="53"/>
      <c r="E2" s="53"/>
      <c r="F2" s="53"/>
      <c r="G2" s="53"/>
      <c r="H2" s="53"/>
      <c r="I2" s="53"/>
      <c r="J2" s="53"/>
    </row>
    <row r="3" spans="2:15" ht="15" thickBot="1" x14ac:dyDescent="0.35"/>
    <row r="4" spans="2:15" ht="32.4" customHeight="1" thickBot="1" x14ac:dyDescent="0.35">
      <c r="C4" s="57" t="s">
        <v>46</v>
      </c>
      <c r="D4" s="59" t="s">
        <v>61</v>
      </c>
      <c r="E4" s="23"/>
      <c r="F4" s="23"/>
      <c r="G4" s="60"/>
      <c r="H4" s="61" t="s">
        <v>62</v>
      </c>
      <c r="I4" s="36"/>
      <c r="J4" s="36"/>
      <c r="K4" s="62"/>
      <c r="L4" s="63" t="s">
        <v>63</v>
      </c>
      <c r="M4" s="65" t="s">
        <v>64</v>
      </c>
      <c r="N4" s="67" t="s">
        <v>65</v>
      </c>
      <c r="O4" s="67" t="s">
        <v>66</v>
      </c>
    </row>
    <row r="5" spans="2:15" ht="73.2" customHeight="1" thickBot="1" x14ac:dyDescent="0.35">
      <c r="C5" s="58"/>
      <c r="D5" s="32" t="s">
        <v>50</v>
      </c>
      <c r="E5" s="32" t="s">
        <v>51</v>
      </c>
      <c r="F5" s="32" t="s">
        <v>52</v>
      </c>
      <c r="G5" s="54" t="s">
        <v>53</v>
      </c>
      <c r="H5" s="32" t="s">
        <v>50</v>
      </c>
      <c r="I5" s="32" t="s">
        <v>51</v>
      </c>
      <c r="J5" s="32" t="s">
        <v>52</v>
      </c>
      <c r="K5" s="54" t="s">
        <v>53</v>
      </c>
      <c r="L5" s="64"/>
      <c r="M5" s="66"/>
      <c r="N5" s="68"/>
      <c r="O5" s="68"/>
    </row>
    <row r="6" spans="2:15" ht="18.600000000000001" thickBot="1" x14ac:dyDescent="0.35">
      <c r="C6" s="21" t="s">
        <v>67</v>
      </c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2"/>
    </row>
    <row r="7" spans="2:15" ht="21" thickBot="1" x14ac:dyDescent="0.35">
      <c r="C7" s="55" t="s">
        <v>54</v>
      </c>
      <c r="D7" s="35">
        <v>2</v>
      </c>
      <c r="E7" s="35">
        <v>8</v>
      </c>
      <c r="F7" s="35">
        <v>10</v>
      </c>
      <c r="G7" s="56">
        <v>6</v>
      </c>
      <c r="H7" s="35">
        <v>1</v>
      </c>
      <c r="I7" s="35">
        <v>7</v>
      </c>
      <c r="J7" s="35">
        <v>10</v>
      </c>
      <c r="K7" s="56">
        <v>10</v>
      </c>
      <c r="L7" s="35">
        <v>26</v>
      </c>
      <c r="M7" s="35">
        <v>28</v>
      </c>
      <c r="N7" s="35">
        <v>1.33</v>
      </c>
      <c r="O7" s="35" t="s">
        <v>68</v>
      </c>
    </row>
    <row r="8" spans="2:15" ht="21" thickBot="1" x14ac:dyDescent="0.35">
      <c r="C8" s="55" t="s">
        <v>8</v>
      </c>
      <c r="D8" s="35">
        <v>2</v>
      </c>
      <c r="E8" s="35">
        <v>7</v>
      </c>
      <c r="F8" s="35">
        <v>8</v>
      </c>
      <c r="G8" s="56">
        <v>8</v>
      </c>
      <c r="H8" s="35">
        <v>2</v>
      </c>
      <c r="I8" s="35">
        <v>5</v>
      </c>
      <c r="J8" s="35">
        <v>10</v>
      </c>
      <c r="K8" s="56">
        <v>9</v>
      </c>
      <c r="L8" s="35">
        <v>25</v>
      </c>
      <c r="M8" s="35">
        <v>26</v>
      </c>
      <c r="N8" s="35">
        <v>0.6</v>
      </c>
      <c r="O8" s="35" t="s">
        <v>68</v>
      </c>
    </row>
    <row r="9" spans="2:15" ht="18.600000000000001" thickBot="1" x14ac:dyDescent="0.35">
      <c r="C9" s="21" t="s">
        <v>9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2"/>
    </row>
    <row r="10" spans="2:15" ht="21" thickBot="1" x14ac:dyDescent="0.35">
      <c r="C10" s="55" t="s">
        <v>54</v>
      </c>
      <c r="D10" s="35">
        <v>2</v>
      </c>
      <c r="E10" s="35">
        <v>8</v>
      </c>
      <c r="F10" s="35">
        <v>10</v>
      </c>
      <c r="G10" s="56">
        <v>6</v>
      </c>
      <c r="H10" s="35">
        <v>1</v>
      </c>
      <c r="I10" s="35">
        <v>7</v>
      </c>
      <c r="J10" s="35">
        <v>10</v>
      </c>
      <c r="K10" s="56">
        <v>10</v>
      </c>
      <c r="L10" s="35">
        <v>26</v>
      </c>
      <c r="M10" s="35">
        <v>28</v>
      </c>
      <c r="N10" s="35">
        <v>1.33</v>
      </c>
      <c r="O10" s="35" t="s">
        <v>68</v>
      </c>
    </row>
    <row r="11" spans="2:15" ht="21" thickBot="1" x14ac:dyDescent="0.35">
      <c r="C11" s="55" t="s">
        <v>8</v>
      </c>
      <c r="D11" s="35">
        <v>2</v>
      </c>
      <c r="E11" s="35">
        <v>7</v>
      </c>
      <c r="F11" s="35">
        <v>8</v>
      </c>
      <c r="G11" s="56">
        <v>8</v>
      </c>
      <c r="H11" s="35">
        <v>2</v>
      </c>
      <c r="I11" s="35">
        <v>5</v>
      </c>
      <c r="J11" s="35">
        <v>10</v>
      </c>
      <c r="K11" s="56">
        <v>9</v>
      </c>
      <c r="L11" s="35">
        <v>25</v>
      </c>
      <c r="M11" s="35">
        <v>26</v>
      </c>
      <c r="N11" s="35">
        <v>0.6</v>
      </c>
      <c r="O11" s="35" t="s">
        <v>68</v>
      </c>
    </row>
    <row r="12" spans="2:15" ht="18.600000000000001" thickBot="1" x14ac:dyDescent="0.35">
      <c r="C12" s="21" t="s">
        <v>10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2"/>
    </row>
    <row r="13" spans="2:15" ht="21" thickBot="1" x14ac:dyDescent="0.35">
      <c r="C13" s="55" t="s">
        <v>54</v>
      </c>
      <c r="D13" s="35">
        <v>2</v>
      </c>
      <c r="E13" s="35">
        <v>8</v>
      </c>
      <c r="F13" s="35">
        <v>10</v>
      </c>
      <c r="G13" s="56">
        <v>6</v>
      </c>
      <c r="H13" s="35">
        <v>1</v>
      </c>
      <c r="I13" s="35">
        <v>7</v>
      </c>
      <c r="J13" s="35">
        <v>10</v>
      </c>
      <c r="K13" s="56">
        <v>10</v>
      </c>
      <c r="L13" s="35">
        <v>26</v>
      </c>
      <c r="M13" s="35">
        <v>28</v>
      </c>
      <c r="N13" s="35">
        <v>1.33</v>
      </c>
      <c r="O13" s="35" t="s">
        <v>69</v>
      </c>
    </row>
    <row r="14" spans="2:15" ht="21" thickBot="1" x14ac:dyDescent="0.35">
      <c r="C14" s="55" t="s">
        <v>8</v>
      </c>
      <c r="D14" s="35">
        <v>2</v>
      </c>
      <c r="E14" s="35">
        <v>7</v>
      </c>
      <c r="F14" s="35">
        <v>8</v>
      </c>
      <c r="G14" s="56">
        <v>8</v>
      </c>
      <c r="H14" s="35">
        <v>2</v>
      </c>
      <c r="I14" s="35">
        <v>5</v>
      </c>
      <c r="J14" s="35">
        <v>10</v>
      </c>
      <c r="K14" s="56">
        <v>9</v>
      </c>
      <c r="L14" s="35">
        <v>25</v>
      </c>
      <c r="M14" s="35">
        <v>26</v>
      </c>
      <c r="N14" s="35">
        <v>0.6</v>
      </c>
      <c r="O14" s="35" t="s">
        <v>69</v>
      </c>
    </row>
  </sheetData>
  <mergeCells count="10">
    <mergeCell ref="M4:M5"/>
    <mergeCell ref="N4:N5"/>
    <mergeCell ref="O4:O5"/>
    <mergeCell ref="C6:O6"/>
    <mergeCell ref="C9:O9"/>
    <mergeCell ref="C12:O12"/>
    <mergeCell ref="C4:C5"/>
    <mergeCell ref="D4:G4"/>
    <mergeCell ref="H4:K4"/>
    <mergeCell ref="L4:L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P15"/>
  <sheetViews>
    <sheetView workbookViewId="0">
      <selection activeCell="D5" sqref="D5:P15"/>
    </sheetView>
  </sheetViews>
  <sheetFormatPr defaultRowHeight="14.4" x14ac:dyDescent="0.3"/>
  <sheetData>
    <row r="3" spans="4:16" ht="18" x14ac:dyDescent="0.3">
      <c r="D3" s="69" t="s">
        <v>70</v>
      </c>
      <c r="E3" s="69"/>
      <c r="F3" s="69"/>
      <c r="G3" s="69"/>
      <c r="H3" s="69"/>
      <c r="I3" s="69"/>
      <c r="J3" s="69"/>
      <c r="K3" s="69"/>
    </row>
    <row r="4" spans="4:16" ht="15" thickBot="1" x14ac:dyDescent="0.35"/>
    <row r="5" spans="4:16" ht="32.4" customHeight="1" thickBot="1" x14ac:dyDescent="0.35">
      <c r="D5" s="57" t="s">
        <v>46</v>
      </c>
      <c r="E5" s="59" t="s">
        <v>71</v>
      </c>
      <c r="F5" s="23"/>
      <c r="G5" s="23"/>
      <c r="H5" s="60"/>
      <c r="I5" s="61" t="s">
        <v>62</v>
      </c>
      <c r="J5" s="36"/>
      <c r="K5" s="36"/>
      <c r="L5" s="62"/>
      <c r="M5" s="63" t="s">
        <v>63</v>
      </c>
      <c r="N5" s="65" t="s">
        <v>64</v>
      </c>
      <c r="O5" s="67" t="s">
        <v>65</v>
      </c>
      <c r="P5" s="67" t="s">
        <v>66</v>
      </c>
    </row>
    <row r="6" spans="4:16" ht="67.2" customHeight="1" thickBot="1" x14ac:dyDescent="0.35">
      <c r="D6" s="58"/>
      <c r="E6" s="32" t="s">
        <v>50</v>
      </c>
      <c r="F6" s="32" t="s">
        <v>51</v>
      </c>
      <c r="G6" s="32" t="s">
        <v>52</v>
      </c>
      <c r="H6" s="54" t="s">
        <v>53</v>
      </c>
      <c r="I6" s="32" t="s">
        <v>50</v>
      </c>
      <c r="J6" s="32" t="s">
        <v>51</v>
      </c>
      <c r="K6" s="32" t="s">
        <v>52</v>
      </c>
      <c r="L6" s="54" t="s">
        <v>53</v>
      </c>
      <c r="M6" s="64"/>
      <c r="N6" s="66"/>
      <c r="O6" s="68"/>
      <c r="P6" s="68"/>
    </row>
    <row r="7" spans="4:16" ht="18.600000000000001" thickBot="1" x14ac:dyDescent="0.35">
      <c r="D7" s="21" t="s">
        <v>67</v>
      </c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2"/>
    </row>
    <row r="8" spans="4:16" ht="35.4" thickBot="1" x14ac:dyDescent="0.35">
      <c r="D8" s="70" t="s">
        <v>54</v>
      </c>
      <c r="E8" s="2">
        <v>2</v>
      </c>
      <c r="F8" s="2">
        <v>8</v>
      </c>
      <c r="G8" s="2">
        <v>10</v>
      </c>
      <c r="H8" s="71">
        <v>6</v>
      </c>
      <c r="I8" s="2">
        <v>1</v>
      </c>
      <c r="J8" s="2">
        <v>7</v>
      </c>
      <c r="K8" s="2">
        <v>10</v>
      </c>
      <c r="L8" s="71">
        <v>10</v>
      </c>
      <c r="M8" s="2">
        <v>26</v>
      </c>
      <c r="N8" s="2">
        <v>28</v>
      </c>
      <c r="O8" s="2">
        <v>1.33</v>
      </c>
      <c r="P8" s="2" t="s">
        <v>69</v>
      </c>
    </row>
    <row r="9" spans="4:16" ht="35.4" thickBot="1" x14ac:dyDescent="0.35">
      <c r="D9" s="70" t="s">
        <v>8</v>
      </c>
      <c r="E9" s="2">
        <v>2</v>
      </c>
      <c r="F9" s="2">
        <v>7</v>
      </c>
      <c r="G9" s="2">
        <v>8</v>
      </c>
      <c r="H9" s="71">
        <v>8</v>
      </c>
      <c r="I9" s="2">
        <v>2</v>
      </c>
      <c r="J9" s="2">
        <v>5</v>
      </c>
      <c r="K9" s="2">
        <v>10</v>
      </c>
      <c r="L9" s="71">
        <v>9</v>
      </c>
      <c r="M9" s="2">
        <v>25</v>
      </c>
      <c r="N9" s="2">
        <v>26</v>
      </c>
      <c r="O9" s="2">
        <v>0.6</v>
      </c>
      <c r="P9" s="2" t="s">
        <v>69</v>
      </c>
    </row>
    <row r="10" spans="4:16" ht="18.600000000000001" thickBot="1" x14ac:dyDescent="0.35">
      <c r="D10" s="21" t="s">
        <v>9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2"/>
    </row>
    <row r="11" spans="4:16" ht="35.4" thickBot="1" x14ac:dyDescent="0.35">
      <c r="D11" s="70" t="s">
        <v>54</v>
      </c>
      <c r="E11" s="2">
        <v>2</v>
      </c>
      <c r="F11" s="2">
        <v>8</v>
      </c>
      <c r="G11" s="2">
        <v>10</v>
      </c>
      <c r="H11" s="71">
        <v>6</v>
      </c>
      <c r="I11" s="2">
        <v>1</v>
      </c>
      <c r="J11" s="2">
        <v>7</v>
      </c>
      <c r="K11" s="2">
        <v>10</v>
      </c>
      <c r="L11" s="71">
        <v>10</v>
      </c>
      <c r="M11" s="2">
        <v>26</v>
      </c>
      <c r="N11" s="2">
        <v>28</v>
      </c>
      <c r="O11" s="2">
        <v>1.33</v>
      </c>
      <c r="P11" s="2" t="s">
        <v>69</v>
      </c>
    </row>
    <row r="12" spans="4:16" ht="35.4" thickBot="1" x14ac:dyDescent="0.35">
      <c r="D12" s="70" t="s">
        <v>8</v>
      </c>
      <c r="E12" s="2">
        <v>2</v>
      </c>
      <c r="F12" s="2">
        <v>7</v>
      </c>
      <c r="G12" s="2">
        <v>8</v>
      </c>
      <c r="H12" s="71">
        <v>8</v>
      </c>
      <c r="I12" s="2">
        <v>2</v>
      </c>
      <c r="J12" s="2">
        <v>5</v>
      </c>
      <c r="K12" s="2">
        <v>10</v>
      </c>
      <c r="L12" s="71">
        <v>9</v>
      </c>
      <c r="M12" s="2">
        <v>25</v>
      </c>
      <c r="N12" s="2">
        <v>26</v>
      </c>
      <c r="O12" s="2">
        <v>0.6</v>
      </c>
      <c r="P12" s="2" t="s">
        <v>69</v>
      </c>
    </row>
    <row r="13" spans="4:16" ht="18.600000000000001" thickBot="1" x14ac:dyDescent="0.35">
      <c r="D13" s="21" t="s">
        <v>10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2"/>
    </row>
    <row r="14" spans="4:16" ht="35.4" thickBot="1" x14ac:dyDescent="0.35">
      <c r="D14" s="70" t="s">
        <v>54</v>
      </c>
      <c r="E14" s="2">
        <v>2</v>
      </c>
      <c r="F14" s="2">
        <v>8</v>
      </c>
      <c r="G14" s="2">
        <v>10</v>
      </c>
      <c r="H14" s="71">
        <v>6</v>
      </c>
      <c r="I14" s="2">
        <v>1</v>
      </c>
      <c r="J14" s="2">
        <v>7</v>
      </c>
      <c r="K14" s="2">
        <v>10</v>
      </c>
      <c r="L14" s="71">
        <v>10</v>
      </c>
      <c r="M14" s="2">
        <v>26</v>
      </c>
      <c r="N14" s="2">
        <v>28</v>
      </c>
      <c r="O14" s="2">
        <v>1.33</v>
      </c>
      <c r="P14" s="2" t="s">
        <v>68</v>
      </c>
    </row>
    <row r="15" spans="4:16" ht="35.4" thickBot="1" x14ac:dyDescent="0.35">
      <c r="D15" s="70" t="s">
        <v>8</v>
      </c>
      <c r="E15" s="2">
        <v>2</v>
      </c>
      <c r="F15" s="2">
        <v>7</v>
      </c>
      <c r="G15" s="2">
        <v>8</v>
      </c>
      <c r="H15" s="71">
        <v>8</v>
      </c>
      <c r="I15" s="2">
        <v>2</v>
      </c>
      <c r="J15" s="2">
        <v>5</v>
      </c>
      <c r="K15" s="2">
        <v>10</v>
      </c>
      <c r="L15" s="71">
        <v>9</v>
      </c>
      <c r="M15" s="2">
        <v>25</v>
      </c>
      <c r="N15" s="2">
        <v>26</v>
      </c>
      <c r="O15" s="2">
        <v>0.6</v>
      </c>
      <c r="P15" s="2" t="s">
        <v>68</v>
      </c>
    </row>
  </sheetData>
  <mergeCells count="11">
    <mergeCell ref="O5:O6"/>
    <mergeCell ref="P5:P6"/>
    <mergeCell ref="D7:P7"/>
    <mergeCell ref="D10:P10"/>
    <mergeCell ref="D13:P13"/>
    <mergeCell ref="D3:K3"/>
    <mergeCell ref="D5:D6"/>
    <mergeCell ref="E5:H5"/>
    <mergeCell ref="I5:L5"/>
    <mergeCell ref="M5:M6"/>
    <mergeCell ref="N5:N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G16"/>
  <sheetViews>
    <sheetView workbookViewId="0">
      <selection activeCell="D4" sqref="D4:G16"/>
    </sheetView>
  </sheetViews>
  <sheetFormatPr defaultRowHeight="14.4" x14ac:dyDescent="0.3"/>
  <cols>
    <col min="4" max="4" width="13.44140625" customWidth="1"/>
    <col min="5" max="5" width="18.77734375" customWidth="1"/>
    <col min="6" max="6" width="17.6640625" customWidth="1"/>
    <col min="7" max="7" width="15" customWidth="1"/>
  </cols>
  <sheetData>
    <row r="2" spans="4:7" ht="36" x14ac:dyDescent="0.3">
      <c r="D2" s="39" t="s">
        <v>72</v>
      </c>
    </row>
    <row r="3" spans="4:7" ht="15" thickBot="1" x14ac:dyDescent="0.35"/>
    <row r="4" spans="4:7" ht="162.6" thickBot="1" x14ac:dyDescent="0.35">
      <c r="D4" s="72" t="s">
        <v>46</v>
      </c>
      <c r="E4" s="6" t="s">
        <v>73</v>
      </c>
      <c r="F4" s="6" t="s">
        <v>74</v>
      </c>
      <c r="G4" s="6" t="s">
        <v>75</v>
      </c>
    </row>
    <row r="5" spans="4:7" ht="18.600000000000001" thickBot="1" x14ac:dyDescent="0.35">
      <c r="D5" s="21" t="s">
        <v>67</v>
      </c>
      <c r="E5" s="23"/>
      <c r="F5" s="23"/>
      <c r="G5" s="22"/>
    </row>
    <row r="6" spans="4:7" ht="18.600000000000001" thickBot="1" x14ac:dyDescent="0.35">
      <c r="D6" s="40" t="s">
        <v>54</v>
      </c>
      <c r="E6" s="2">
        <v>76.11</v>
      </c>
      <c r="F6" s="2">
        <v>67.14</v>
      </c>
      <c r="G6" s="2">
        <v>1.1299999999999999</v>
      </c>
    </row>
    <row r="7" spans="4:7" ht="18.600000000000001" thickBot="1" x14ac:dyDescent="0.35">
      <c r="D7" s="40" t="s">
        <v>7</v>
      </c>
      <c r="E7" s="2">
        <v>74.64</v>
      </c>
      <c r="F7" s="2">
        <v>65.42</v>
      </c>
      <c r="G7" s="2">
        <v>1.1399999999999999</v>
      </c>
    </row>
    <row r="8" spans="4:7" ht="18.600000000000001" thickBot="1" x14ac:dyDescent="0.35">
      <c r="D8" s="40" t="s">
        <v>8</v>
      </c>
      <c r="E8" s="2">
        <v>75.39</v>
      </c>
      <c r="F8" s="2">
        <v>66.31</v>
      </c>
      <c r="G8" s="2">
        <v>1.1399999999999999</v>
      </c>
    </row>
    <row r="9" spans="4:7" ht="18.600000000000001" thickBot="1" x14ac:dyDescent="0.35">
      <c r="D9" s="21" t="s">
        <v>9</v>
      </c>
      <c r="E9" s="23"/>
      <c r="F9" s="23"/>
      <c r="G9" s="22"/>
    </row>
    <row r="10" spans="4:7" ht="18.600000000000001" thickBot="1" x14ac:dyDescent="0.35">
      <c r="D10" s="40" t="s">
        <v>54</v>
      </c>
      <c r="E10" s="2">
        <v>76.11</v>
      </c>
      <c r="F10" s="2">
        <v>67.14</v>
      </c>
      <c r="G10" s="2">
        <v>1.1299999999999999</v>
      </c>
    </row>
    <row r="11" spans="4:7" ht="18.600000000000001" thickBot="1" x14ac:dyDescent="0.35">
      <c r="D11" s="40" t="s">
        <v>7</v>
      </c>
      <c r="E11" s="2">
        <v>74.64</v>
      </c>
      <c r="F11" s="2">
        <v>65.42</v>
      </c>
      <c r="G11" s="2">
        <v>1.1399999999999999</v>
      </c>
    </row>
    <row r="12" spans="4:7" ht="18.600000000000001" thickBot="1" x14ac:dyDescent="0.35">
      <c r="D12" s="40" t="s">
        <v>8</v>
      </c>
      <c r="E12" s="2">
        <v>75.39</v>
      </c>
      <c r="F12" s="2">
        <v>66.31</v>
      </c>
      <c r="G12" s="2">
        <v>1.1399999999999999</v>
      </c>
    </row>
    <row r="13" spans="4:7" ht="18.600000000000001" thickBot="1" x14ac:dyDescent="0.35">
      <c r="D13" s="21" t="s">
        <v>10</v>
      </c>
      <c r="E13" s="23"/>
      <c r="F13" s="23"/>
      <c r="G13" s="22"/>
    </row>
    <row r="14" spans="4:7" ht="18.600000000000001" thickBot="1" x14ac:dyDescent="0.35">
      <c r="D14" s="40" t="s">
        <v>54</v>
      </c>
      <c r="E14" s="2">
        <v>76.11</v>
      </c>
      <c r="F14" s="2">
        <v>67.14</v>
      </c>
      <c r="G14" s="2">
        <v>1.1299999999999999</v>
      </c>
    </row>
    <row r="15" spans="4:7" ht="18.600000000000001" thickBot="1" x14ac:dyDescent="0.35">
      <c r="D15" s="40" t="s">
        <v>7</v>
      </c>
      <c r="E15" s="2">
        <v>74.64</v>
      </c>
      <c r="F15" s="2">
        <v>65.42</v>
      </c>
      <c r="G15" s="2">
        <v>1.1399999999999999</v>
      </c>
    </row>
    <row r="16" spans="4:7" ht="18.600000000000001" thickBot="1" x14ac:dyDescent="0.35">
      <c r="D16" s="40" t="s">
        <v>8</v>
      </c>
      <c r="E16" s="2">
        <v>75.39</v>
      </c>
      <c r="F16" s="2">
        <v>66.31</v>
      </c>
      <c r="G16" s="2">
        <v>1.1399999999999999</v>
      </c>
    </row>
  </sheetData>
  <mergeCells count="3">
    <mergeCell ref="D5:G5"/>
    <mergeCell ref="D9:G9"/>
    <mergeCell ref="D13:G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Лист1</vt:lpstr>
      <vt:lpstr>Лист2</vt:lpstr>
      <vt:lpstr>Лист4</vt:lpstr>
      <vt:lpstr>Лист5</vt:lpstr>
      <vt:lpstr>Лист6</vt:lpstr>
      <vt:lpstr>Лист7</vt:lpstr>
      <vt:lpstr>Лист8</vt:lpstr>
      <vt:lpstr>Лист9</vt:lpstr>
      <vt:lpstr>Лист10</vt:lpstr>
      <vt:lpstr>Лист11</vt:lpstr>
      <vt:lpstr>Лист12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2025-08-10T07:41:11Z</dcterms:created>
  <dcterms:modified xsi:type="dcterms:W3CDTF">2025-08-12T07:27:08Z</dcterms:modified>
</cp:coreProperties>
</file>