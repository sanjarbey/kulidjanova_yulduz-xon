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SPanel\home\kulidjanova_yulduz-xon\"/>
    </mc:Choice>
  </mc:AlternateContent>
  <bookViews>
    <workbookView xWindow="0" yWindow="0" windowWidth="23040" windowHeight="9072" activeTab="2"/>
  </bookViews>
  <sheets>
    <sheet name="Лист1" sheetId="1" r:id="rId1"/>
    <sheet name="Лист2" sheetId="2" r:id="rId2"/>
    <sheet name="Лист3" sheetId="1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13" l="1"/>
  <c r="V8" i="13"/>
  <c r="V2" i="13"/>
  <c r="I49" i="13"/>
  <c r="J49" i="13"/>
  <c r="K49" i="13"/>
  <c r="N49" i="13"/>
  <c r="O49" i="13"/>
  <c r="P49" i="13"/>
  <c r="R6" i="13"/>
  <c r="R49" i="13" s="1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V3" i="13"/>
  <c r="V4" i="13"/>
  <c r="V5" i="13"/>
  <c r="V6" i="13"/>
  <c r="V7" i="13"/>
  <c r="M5" i="13"/>
  <c r="M49" i="13" s="1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5" i="13"/>
  <c r="H49" i="13" s="1"/>
  <c r="F98" i="13"/>
  <c r="K98" i="13"/>
  <c r="F147" i="13"/>
  <c r="I147" i="13"/>
  <c r="J147" i="13"/>
  <c r="K147" i="13"/>
  <c r="N147" i="13"/>
  <c r="O147" i="13"/>
  <c r="P147" i="13"/>
  <c r="E147" i="13"/>
  <c r="I98" i="13"/>
  <c r="J98" i="13"/>
  <c r="N98" i="13"/>
  <c r="O98" i="13"/>
  <c r="P98" i="13"/>
  <c r="F49" i="13"/>
  <c r="U93" i="13" l="1"/>
  <c r="U95" i="13"/>
  <c r="U98" i="13" s="1"/>
  <c r="E9" i="8"/>
  <c r="F9" i="8"/>
  <c r="G9" i="8"/>
  <c r="H9" i="8"/>
  <c r="I9" i="8"/>
  <c r="J9" i="8"/>
  <c r="K9" i="8"/>
  <c r="L9" i="8"/>
  <c r="D9" i="8"/>
  <c r="D12" i="7"/>
  <c r="E12" i="7"/>
  <c r="F12" i="7"/>
  <c r="G12" i="7"/>
  <c r="H12" i="7"/>
  <c r="I12" i="7"/>
  <c r="J12" i="7"/>
  <c r="K12" i="7"/>
  <c r="C12" i="7"/>
  <c r="D10" i="6"/>
  <c r="E10" i="6"/>
  <c r="F10" i="6"/>
  <c r="G10" i="6"/>
  <c r="H10" i="6"/>
  <c r="I10" i="6"/>
  <c r="J10" i="6"/>
  <c r="K10" i="6"/>
  <c r="C10" i="6"/>
  <c r="D8" i="2" l="1"/>
  <c r="E8" i="2"/>
  <c r="C8" i="2"/>
  <c r="E14" i="1" l="1"/>
  <c r="E13" i="1"/>
  <c r="E11" i="1"/>
  <c r="E10" i="1"/>
  <c r="E8" i="1"/>
  <c r="E7" i="1"/>
  <c r="D15" i="1"/>
  <c r="C15" i="1"/>
  <c r="E15" i="1" l="1"/>
</calcChain>
</file>

<file path=xl/sharedStrings.xml><?xml version="1.0" encoding="utf-8"?>
<sst xmlns="http://schemas.openxmlformats.org/spreadsheetml/2006/main" count="1038" uniqueCount="457">
  <si>
    <t>O’quv yillari</t>
  </si>
  <si>
    <t>2021-2025 yillari</t>
  </si>
  <si>
    <t>JAMI</t>
  </si>
  <si>
    <t>Nazorat guruhi talabalar soni</t>
  </si>
  <si>
    <t>Tajriba guruhi talabalar soni</t>
  </si>
  <si>
    <t>Talabalar soni</t>
  </si>
  <si>
    <t>O’zMU</t>
  </si>
  <si>
    <t>2023-2024</t>
  </si>
  <si>
    <t>2024-2025</t>
  </si>
  <si>
    <t>TAFU</t>
  </si>
  <si>
    <t>NamDPU</t>
  </si>
  <si>
    <t>Jami</t>
  </si>
  <si>
    <t>№</t>
  </si>
  <si>
    <t xml:space="preserve">Nazorat guruhi  </t>
  </si>
  <si>
    <t xml:space="preserve">Tajriba guruhi </t>
  </si>
  <si>
    <t>O‘quv guruhlari</t>
  </si>
  <si>
    <t>To‘g‘ri
javoblar
ning o‘rtacha
soni</t>
  </si>
  <si>
    <t>O‘rtacha
kvadratli
xatolik</t>
  </si>
  <si>
    <t>Variatsiya
koeffisiyenti</t>
  </si>
  <si>
    <t>Guruh tarkibi</t>
  </si>
  <si>
    <t>Guruh</t>
  </si>
  <si>
    <t>Maruzadan keying tekshiruv</t>
  </si>
  <si>
    <t>Uch oydan keyin tekshiruv</t>
  </si>
  <si>
    <t xml:space="preserve">To‘g‘ri javoblarning o‘rtacha soni </t>
  </si>
  <si>
    <t>m</t>
  </si>
  <si>
    <t xml:space="preserve">O‘rtacha kvadratik xatolik </t>
  </si>
  <si>
    <t>y</t>
  </si>
  <si>
    <t xml:space="preserve">Ma’lum ishonchlilik chegarasi kengligi </t>
  </si>
  <si>
    <t>D</t>
  </si>
  <si>
    <t>O‘zlashtirishi past talabalar</t>
  </si>
  <si>
    <t>N</t>
  </si>
  <si>
    <t>T</t>
  </si>
  <si>
    <t>O‘zlashtirishi yuqori talabalar</t>
  </si>
  <si>
    <t>Nisbiy samaradorlik koeffitsenti</t>
  </si>
  <si>
    <t>Qabul qilish</t>
  </si>
  <si>
    <t>O’zlashtirish</t>
  </si>
  <si>
    <t>Eslab qolish mustahkamligi</t>
  </si>
  <si>
    <t>O‘zlashti-rishi past</t>
  </si>
  <si>
    <t>O‘zlashti-rishi yuqori</t>
  </si>
  <si>
    <t>O‘zlashtirishi past</t>
  </si>
  <si>
    <t>O‘zlashtirishi yuqori</t>
  </si>
  <si>
    <t>3.2-jadval. Tajriba –sinov ishlarida ishtirok etgan oliy ta’lim muassasasi talabalari</t>
  </si>
  <si>
    <t>3.3-jadval. Tajriba-sinov natijalari</t>
  </si>
  <si>
    <t>3.4-jadval. Ikkinchi bosqich pedagogik tajriba-sinovlarning natijalari</t>
  </si>
  <si>
    <t>3.5-jadval. Dastur ishlanmalarning ta’lim jarayoniga joriy qilinganligi nisbiy samaradorligi.</t>
  </si>
  <si>
    <t>3.6-jadval. O‘zMU da olib borilgan tadqiqot natijalari.</t>
  </si>
  <si>
    <t>O‘quv yili</t>
  </si>
  <si>
    <t>Tajriba guruhi</t>
  </si>
  <si>
    <t>Nazorat guruhi</t>
  </si>
  <si>
    <t>Shakllanganlik darajasi</t>
  </si>
  <si>
    <t>To‘liq</t>
  </si>
  <si>
    <t>Asosan</t>
  </si>
  <si>
    <t>Qisman</t>
  </si>
  <si>
    <t>Past</t>
  </si>
  <si>
    <t>2022-2023</t>
  </si>
  <si>
    <t>3.7-jadval. TAFU da olib borilgan tadqiqot natijalari.</t>
  </si>
  <si>
    <t>3.8-jadval. NamDPU da olib borilgan tadqiqot natijalari.</t>
  </si>
  <si>
    <t>3.9-jadval.</t>
  </si>
  <si>
    <t>Tanlanmalar</t>
  </si>
  <si>
    <t>Nazorat gurhi</t>
  </si>
  <si>
    <t>3.10-jadval.– jadval. Tajriba boshida tanlab olingan guruhlardagi o‘zlashtirish natijalari va gipoteza xulosasi.</t>
  </si>
  <si>
    <t xml:space="preserve">Tajriba </t>
  </si>
  <si>
    <t>Nazorat</t>
  </si>
  <si>
    <t>Tajriba.-sinov talabalar soni</t>
  </si>
  <si>
    <t>Nazorat guruhi talabalr soni</t>
  </si>
  <si>
    <r>
      <t>X</t>
    </r>
    <r>
      <rPr>
        <i/>
        <vertAlign val="subscript"/>
        <sz val="12"/>
        <color theme="1"/>
        <rFont val="Times New Roman"/>
        <family val="1"/>
        <charset val="204"/>
      </rPr>
      <t>i</t>
    </r>
    <r>
      <rPr>
        <vertAlign val="subscript"/>
        <sz val="12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kvadrat</t>
    </r>
  </si>
  <si>
    <t>Kriteriya xulosasi</t>
  </si>
  <si>
    <t>O‘zMU</t>
  </si>
  <si>
    <r>
      <t>H</t>
    </r>
    <r>
      <rPr>
        <vertAlign val="subscript"/>
        <sz val="14"/>
        <color theme="1"/>
        <rFont val="Times New Roman"/>
        <family val="1"/>
        <charset val="204"/>
      </rPr>
      <t>0</t>
    </r>
  </si>
  <si>
    <r>
      <t>H</t>
    </r>
    <r>
      <rPr>
        <vertAlign val="subscript"/>
        <sz val="14"/>
        <color theme="1"/>
        <rFont val="Times New Roman"/>
        <family val="1"/>
        <charset val="204"/>
      </rPr>
      <t>1</t>
    </r>
  </si>
  <si>
    <t>3.11-jadval.– jadval. Tajriba boshida tanlab olingan guruhlardagi o‘zlashtirish natijalari va gipoteza xulosasi.</t>
  </si>
  <si>
    <t>Tajriba</t>
  </si>
  <si>
    <t xml:space="preserve">3.12-jadval. </t>
  </si>
  <si>
    <t>Tajriba guruhidagi o‘rtacha o‘zlashtirish ko‘rsatkichi</t>
  </si>
  <si>
    <t>Nazorat guruhidagi o‘rtacha o‘zlashtirish ko‘rsatkichi</t>
  </si>
  <si>
    <t>Samaradorlik ko‘rsatkichlari</t>
  </si>
  <si>
    <t>Talaba_ID</t>
  </si>
  <si>
    <t>Ball</t>
  </si>
  <si>
    <t>N_001</t>
  </si>
  <si>
    <t>N_045</t>
  </si>
  <si>
    <t>N_089</t>
  </si>
  <si>
    <t>N_002</t>
  </si>
  <si>
    <t>N_046</t>
  </si>
  <si>
    <t>N_090</t>
  </si>
  <si>
    <t>N_003</t>
  </si>
  <si>
    <t>N_047</t>
  </si>
  <si>
    <t>N_091</t>
  </si>
  <si>
    <t>N_004</t>
  </si>
  <si>
    <t>N_048</t>
  </si>
  <si>
    <t>N_092</t>
  </si>
  <si>
    <t>N_005</t>
  </si>
  <si>
    <t>N_049</t>
  </si>
  <si>
    <t>N_093</t>
  </si>
  <si>
    <t>N_006</t>
  </si>
  <si>
    <t>N_050</t>
  </si>
  <si>
    <t>N_094</t>
  </si>
  <si>
    <t>N_007</t>
  </si>
  <si>
    <t>N_051</t>
  </si>
  <si>
    <t>N_095</t>
  </si>
  <si>
    <t>N_008</t>
  </si>
  <si>
    <t>N_052</t>
  </si>
  <si>
    <t>N_096</t>
  </si>
  <si>
    <t>N_009</t>
  </si>
  <si>
    <t>N_053</t>
  </si>
  <si>
    <t>N_097</t>
  </si>
  <si>
    <t>N_010</t>
  </si>
  <si>
    <t>N_054</t>
  </si>
  <si>
    <t>N_098</t>
  </si>
  <si>
    <t>N_011</t>
  </si>
  <si>
    <t>N_055</t>
  </si>
  <si>
    <t>N_099</t>
  </si>
  <si>
    <t>N_012</t>
  </si>
  <si>
    <t>N_056</t>
  </si>
  <si>
    <t>N_100</t>
  </si>
  <si>
    <t>N_013</t>
  </si>
  <si>
    <t>N_057</t>
  </si>
  <si>
    <t>N_101</t>
  </si>
  <si>
    <t>N_014</t>
  </si>
  <si>
    <t>N_058</t>
  </si>
  <si>
    <t>N_102</t>
  </si>
  <si>
    <t>N_015</t>
  </si>
  <si>
    <t>N_059</t>
  </si>
  <si>
    <t>N_103</t>
  </si>
  <si>
    <t>N_016</t>
  </si>
  <si>
    <t>N_060</t>
  </si>
  <si>
    <t>N_104</t>
  </si>
  <si>
    <t>N_017</t>
  </si>
  <si>
    <t>N_061</t>
  </si>
  <si>
    <t>N_105</t>
  </si>
  <si>
    <t>N_018</t>
  </si>
  <si>
    <t>N_062</t>
  </si>
  <si>
    <t>N_106</t>
  </si>
  <si>
    <t>N_019</t>
  </si>
  <si>
    <t>N_063</t>
  </si>
  <si>
    <t>N_107</t>
  </si>
  <si>
    <t>N_020</t>
  </si>
  <si>
    <t>N_064</t>
  </si>
  <si>
    <t>N_108</t>
  </si>
  <si>
    <t>N_021</t>
  </si>
  <si>
    <t>N_065</t>
  </si>
  <si>
    <t>N_109</t>
  </si>
  <si>
    <t>N_022</t>
  </si>
  <si>
    <t>N_066</t>
  </si>
  <si>
    <t>N_110</t>
  </si>
  <si>
    <t>N_023</t>
  </si>
  <si>
    <t>N_067</t>
  </si>
  <si>
    <t>N_111</t>
  </si>
  <si>
    <t>N_024</t>
  </si>
  <si>
    <t>N_068</t>
  </si>
  <si>
    <t>N_112</t>
  </si>
  <si>
    <t>N_025</t>
  </si>
  <si>
    <t>N_069</t>
  </si>
  <si>
    <t>N_113</t>
  </si>
  <si>
    <t>N_026</t>
  </si>
  <si>
    <t>N_070</t>
  </si>
  <si>
    <t>N_114</t>
  </si>
  <si>
    <t>N_027</t>
  </si>
  <si>
    <t>N_071</t>
  </si>
  <si>
    <t>N_115</t>
  </si>
  <si>
    <t>N_028</t>
  </si>
  <si>
    <t>N_072</t>
  </si>
  <si>
    <t>N_116</t>
  </si>
  <si>
    <t>N_029</t>
  </si>
  <si>
    <t>N_073</t>
  </si>
  <si>
    <t>N_117</t>
  </si>
  <si>
    <t>N_030</t>
  </si>
  <si>
    <t>N_074</t>
  </si>
  <si>
    <t>N_118</t>
  </si>
  <si>
    <t>N_031</t>
  </si>
  <si>
    <t>N_075</t>
  </si>
  <si>
    <t>N_119</t>
  </si>
  <si>
    <t>N_032</t>
  </si>
  <si>
    <t>N_076</t>
  </si>
  <si>
    <t>N_120</t>
  </si>
  <si>
    <t>N_033</t>
  </si>
  <si>
    <t>N_077</t>
  </si>
  <si>
    <t>N_121</t>
  </si>
  <si>
    <t>N_034</t>
  </si>
  <si>
    <t>N_078</t>
  </si>
  <si>
    <t>N_122</t>
  </si>
  <si>
    <t>N_035</t>
  </si>
  <si>
    <t>N_079</t>
  </si>
  <si>
    <t>N_123</t>
  </si>
  <si>
    <t>N_036</t>
  </si>
  <si>
    <t>N_080</t>
  </si>
  <si>
    <t>N_124</t>
  </si>
  <si>
    <t>N_037</t>
  </si>
  <si>
    <t>N_081</t>
  </si>
  <si>
    <t>N_125</t>
  </si>
  <si>
    <t>N_038</t>
  </si>
  <si>
    <t>N_082</t>
  </si>
  <si>
    <t>N_126</t>
  </si>
  <si>
    <t>N_039</t>
  </si>
  <si>
    <t>N_083</t>
  </si>
  <si>
    <t>N_127</t>
  </si>
  <si>
    <t>N_040</t>
  </si>
  <si>
    <t>N_084</t>
  </si>
  <si>
    <t>N_128</t>
  </si>
  <si>
    <t>N_041</t>
  </si>
  <si>
    <t>N_085</t>
  </si>
  <si>
    <t>N_129</t>
  </si>
  <si>
    <t>N_042</t>
  </si>
  <si>
    <t>N_086</t>
  </si>
  <si>
    <t>N_130</t>
  </si>
  <si>
    <t>N_043</t>
  </si>
  <si>
    <t>N_087</t>
  </si>
  <si>
    <t>N_131</t>
  </si>
  <si>
    <t>N_044</t>
  </si>
  <si>
    <t>N_088</t>
  </si>
  <si>
    <t>N_132</t>
  </si>
  <si>
    <t>N_133</t>
  </si>
  <si>
    <t>N_180</t>
  </si>
  <si>
    <t>T_042</t>
  </si>
  <si>
    <t>N_134</t>
  </si>
  <si>
    <t>N_181</t>
  </si>
  <si>
    <t>T_043</t>
  </si>
  <si>
    <t>N_135</t>
  </si>
  <si>
    <t>N_182</t>
  </si>
  <si>
    <t>T_044</t>
  </si>
  <si>
    <t>N_136</t>
  </si>
  <si>
    <t>N_183</t>
  </si>
  <si>
    <t>T_045</t>
  </si>
  <si>
    <t>N_137</t>
  </si>
  <si>
    <t>N_184</t>
  </si>
  <si>
    <t>T_046</t>
  </si>
  <si>
    <t>N_138</t>
  </si>
  <si>
    <t>N_185</t>
  </si>
  <si>
    <t>T_047</t>
  </si>
  <si>
    <t>N_139</t>
  </si>
  <si>
    <t>T_001</t>
  </si>
  <si>
    <t>T_048</t>
  </si>
  <si>
    <t>N_140</t>
  </si>
  <si>
    <t>T_002</t>
  </si>
  <si>
    <t>T_049</t>
  </si>
  <si>
    <t>N_141</t>
  </si>
  <si>
    <t>T_003</t>
  </si>
  <si>
    <t>T_050</t>
  </si>
  <si>
    <t>N_142</t>
  </si>
  <si>
    <t>T_004</t>
  </si>
  <si>
    <t>N_143</t>
  </si>
  <si>
    <t>T_005</t>
  </si>
  <si>
    <t>T_051</t>
  </si>
  <si>
    <t>N_144</t>
  </si>
  <si>
    <t>T_006</t>
  </si>
  <si>
    <t>T_052</t>
  </si>
  <si>
    <t>N_145</t>
  </si>
  <si>
    <t>T_007</t>
  </si>
  <si>
    <t>T_053</t>
  </si>
  <si>
    <t>N_146</t>
  </si>
  <si>
    <t>T_008</t>
  </si>
  <si>
    <t>T_054</t>
  </si>
  <si>
    <t>N_147</t>
  </si>
  <si>
    <t>T_009</t>
  </si>
  <si>
    <t>T_055</t>
  </si>
  <si>
    <t>N_148</t>
  </si>
  <si>
    <t>T_010</t>
  </si>
  <si>
    <t>T_056</t>
  </si>
  <si>
    <t>N_149</t>
  </si>
  <si>
    <t>T_011</t>
  </si>
  <si>
    <t>T_057</t>
  </si>
  <si>
    <t>N_150</t>
  </si>
  <si>
    <t>T_012</t>
  </si>
  <si>
    <t>T_058</t>
  </si>
  <si>
    <t>N_151</t>
  </si>
  <si>
    <t>T_013</t>
  </si>
  <si>
    <t>T_059</t>
  </si>
  <si>
    <t>N_152</t>
  </si>
  <si>
    <t>T_014</t>
  </si>
  <si>
    <t>T_060</t>
  </si>
  <si>
    <t>N_153</t>
  </si>
  <si>
    <t>T_015</t>
  </si>
  <si>
    <t>T_061</t>
  </si>
  <si>
    <t>N_154</t>
  </si>
  <si>
    <t>T_016</t>
  </si>
  <si>
    <t>T_062</t>
  </si>
  <si>
    <t>N_155</t>
  </si>
  <si>
    <t>T_017</t>
  </si>
  <si>
    <t>T_063</t>
  </si>
  <si>
    <t>N_156</t>
  </si>
  <si>
    <t>T_018</t>
  </si>
  <si>
    <t>T_064</t>
  </si>
  <si>
    <t>N_157</t>
  </si>
  <si>
    <t>T_019</t>
  </si>
  <si>
    <t>T_065</t>
  </si>
  <si>
    <t>N_158</t>
  </si>
  <si>
    <t>T_020</t>
  </si>
  <si>
    <t>T_066</t>
  </si>
  <si>
    <t>N_159</t>
  </si>
  <si>
    <t>T_021</t>
  </si>
  <si>
    <t>T_067</t>
  </si>
  <si>
    <t>N_160</t>
  </si>
  <si>
    <t>T_022</t>
  </si>
  <si>
    <t>T_068</t>
  </si>
  <si>
    <t>N_161</t>
  </si>
  <si>
    <t>T_023</t>
  </si>
  <si>
    <t>T_069</t>
  </si>
  <si>
    <t>N_162</t>
  </si>
  <si>
    <t>T_024</t>
  </si>
  <si>
    <t>T_070</t>
  </si>
  <si>
    <t>N_163</t>
  </si>
  <si>
    <t>T_025</t>
  </si>
  <si>
    <t>T_071</t>
  </si>
  <si>
    <t>N_164</t>
  </si>
  <si>
    <t>T_026</t>
  </si>
  <si>
    <t>T_072</t>
  </si>
  <si>
    <t>N_165</t>
  </si>
  <si>
    <t>T_027</t>
  </si>
  <si>
    <t>T_073</t>
  </si>
  <si>
    <t>N_166</t>
  </si>
  <si>
    <t>T_028</t>
  </si>
  <si>
    <t>T_074</t>
  </si>
  <si>
    <t>N_167</t>
  </si>
  <si>
    <t>T_029</t>
  </si>
  <si>
    <t>T_075</t>
  </si>
  <si>
    <t>N_168</t>
  </si>
  <si>
    <t>T_030</t>
  </si>
  <si>
    <t>T_076</t>
  </si>
  <si>
    <t>N_169</t>
  </si>
  <si>
    <t>T_031</t>
  </si>
  <si>
    <t>T_077</t>
  </si>
  <si>
    <t>N_170</t>
  </si>
  <si>
    <t>T_032</t>
  </si>
  <si>
    <t>T_078</t>
  </si>
  <si>
    <t>N_171</t>
  </si>
  <si>
    <t>T_033</t>
  </si>
  <si>
    <t>T_079</t>
  </si>
  <si>
    <t>N_172</t>
  </si>
  <si>
    <t>T_034</t>
  </si>
  <si>
    <t>T_080</t>
  </si>
  <si>
    <t>N_173</t>
  </si>
  <si>
    <t>T_035</t>
  </si>
  <si>
    <t>T_081</t>
  </si>
  <si>
    <t>N_174</t>
  </si>
  <si>
    <t>T_036</t>
  </si>
  <si>
    <t>T_082</t>
  </si>
  <si>
    <t>N_175</t>
  </si>
  <si>
    <t>T_037</t>
  </si>
  <si>
    <t>T_083</t>
  </si>
  <si>
    <t>N_176</t>
  </si>
  <si>
    <t>T_038</t>
  </si>
  <si>
    <t>T_084</t>
  </si>
  <si>
    <t>N_177</t>
  </si>
  <si>
    <t>T_039</t>
  </si>
  <si>
    <t>T_085</t>
  </si>
  <si>
    <t>N_178</t>
  </si>
  <si>
    <t>T_040</t>
  </si>
  <si>
    <t>T_086</t>
  </si>
  <si>
    <t>N_179</t>
  </si>
  <si>
    <t>T_041</t>
  </si>
  <si>
    <t>T_087</t>
  </si>
  <si>
    <t>T_089</t>
  </si>
  <si>
    <t>T_136</t>
  </si>
  <si>
    <t>T_183</t>
  </si>
  <si>
    <t>T_090</t>
  </si>
  <si>
    <t>T_137</t>
  </si>
  <si>
    <t>T_184</t>
  </si>
  <si>
    <t>T_091</t>
  </si>
  <si>
    <t>T_138</t>
  </si>
  <si>
    <t>T_185</t>
  </si>
  <si>
    <t>T_092</t>
  </si>
  <si>
    <t>T_139</t>
  </si>
  <si>
    <t>T_186</t>
  </si>
  <si>
    <t>T_093</t>
  </si>
  <si>
    <t>T_140</t>
  </si>
  <si>
    <t>T_187</t>
  </si>
  <si>
    <t>T_094</t>
  </si>
  <si>
    <t>T_141</t>
  </si>
  <si>
    <t>T_188</t>
  </si>
  <si>
    <t>T_095</t>
  </si>
  <si>
    <t>T_142</t>
  </si>
  <si>
    <t>T_189</t>
  </si>
  <si>
    <t>T_096</t>
  </si>
  <si>
    <t>T_143</t>
  </si>
  <si>
    <t>T_190</t>
  </si>
  <si>
    <t>T_097</t>
  </si>
  <si>
    <t>T_144</t>
  </si>
  <si>
    <t>T_191</t>
  </si>
  <si>
    <t>T_098</t>
  </si>
  <si>
    <t>T_145</t>
  </si>
  <si>
    <t>T_192</t>
  </si>
  <si>
    <t>T_099</t>
  </si>
  <si>
    <t>T_146</t>
  </si>
  <si>
    <t>T_193</t>
  </si>
  <si>
    <t>T_100</t>
  </si>
  <si>
    <t>T_147</t>
  </si>
  <si>
    <t>T_194</t>
  </si>
  <si>
    <t>T_101</t>
  </si>
  <si>
    <t>T_148</t>
  </si>
  <si>
    <t>T_195</t>
  </si>
  <si>
    <t>T_102</t>
  </si>
  <si>
    <t>T_149</t>
  </si>
  <si>
    <t>T_103</t>
  </si>
  <si>
    <t>T_150</t>
  </si>
  <si>
    <t>T_104</t>
  </si>
  <si>
    <t>T_151</t>
  </si>
  <si>
    <t>T_105</t>
  </si>
  <si>
    <t>T_152</t>
  </si>
  <si>
    <t>T_106</t>
  </si>
  <si>
    <t>T_153</t>
  </si>
  <si>
    <t>T_107</t>
  </si>
  <si>
    <t>T_154</t>
  </si>
  <si>
    <t>T_108</t>
  </si>
  <si>
    <t>T_155</t>
  </si>
  <si>
    <t>T_109</t>
  </si>
  <si>
    <t>T_156</t>
  </si>
  <si>
    <t>T_110</t>
  </si>
  <si>
    <t>T_157</t>
  </si>
  <si>
    <t>T_111</t>
  </si>
  <si>
    <t>T_158</t>
  </si>
  <si>
    <t>T_112</t>
  </si>
  <si>
    <t>T_159</t>
  </si>
  <si>
    <t>T_113</t>
  </si>
  <si>
    <t>T_160</t>
  </si>
  <si>
    <t>T_114</t>
  </si>
  <si>
    <t>T_161</t>
  </si>
  <si>
    <t>T_115</t>
  </si>
  <si>
    <t>T_162</t>
  </si>
  <si>
    <t>T_116</t>
  </si>
  <si>
    <t>T_163</t>
  </si>
  <si>
    <t>T_117</t>
  </si>
  <si>
    <t>T_164</t>
  </si>
  <si>
    <t>T_118</t>
  </si>
  <si>
    <t>T_165</t>
  </si>
  <si>
    <t>T_119</t>
  </si>
  <si>
    <t>T_166</t>
  </si>
  <si>
    <t>T_120</t>
  </si>
  <si>
    <t>T_167</t>
  </si>
  <si>
    <t>T_121</t>
  </si>
  <si>
    <t>T_168</t>
  </si>
  <si>
    <t>T_122</t>
  </si>
  <si>
    <t>T_169</t>
  </si>
  <si>
    <t>T_123</t>
  </si>
  <si>
    <t>T_170</t>
  </si>
  <si>
    <t>T_124</t>
  </si>
  <si>
    <t>T_171</t>
  </si>
  <si>
    <t>T_125</t>
  </si>
  <si>
    <t>T_172</t>
  </si>
  <si>
    <t>T_126</t>
  </si>
  <si>
    <t>T_173</t>
  </si>
  <si>
    <t>T_127</t>
  </si>
  <si>
    <t>T_174</t>
  </si>
  <si>
    <t>T_128</t>
  </si>
  <si>
    <t>T_175</t>
  </si>
  <si>
    <t>T_129</t>
  </si>
  <si>
    <t>T_176</t>
  </si>
  <si>
    <t>T_130</t>
  </si>
  <si>
    <t>T_177</t>
  </si>
  <si>
    <t>T_131</t>
  </si>
  <si>
    <t>T_178</t>
  </si>
  <si>
    <t>T_132</t>
  </si>
  <si>
    <t>T_179</t>
  </si>
  <si>
    <t>T_133</t>
  </si>
  <si>
    <t>T_180</t>
  </si>
  <si>
    <t>T_134</t>
  </si>
  <si>
    <t>T_181</t>
  </si>
  <si>
    <t>T_135</t>
  </si>
  <si>
    <t>T_182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</si>
</sst>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vertAlign val="subscript"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 textRotation="90" wrapText="1"/>
    </xf>
    <xf numFmtId="0" fontId="3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 textRotation="90" wrapText="1"/>
    </xf>
    <xf numFmtId="0" fontId="0" fillId="0" borderId="0" xfId="0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0" xfId="0" applyFont="1"/>
    <xf numFmtId="0" fontId="1" fillId="0" borderId="10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center" textRotation="90" wrapText="1"/>
    </xf>
    <xf numFmtId="0" fontId="5" fillId="0" borderId="16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10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/>
    </xf>
    <xf numFmtId="0" fontId="10" fillId="0" borderId="5" xfId="0" applyFont="1" applyBorder="1" applyAlignment="1">
      <alignment horizontal="justify" vertical="center"/>
    </xf>
    <xf numFmtId="0" fontId="10" fillId="0" borderId="5" xfId="0" applyFont="1" applyBorder="1" applyAlignment="1">
      <alignment horizontal="justify" vertical="center" wrapText="1"/>
    </xf>
    <xf numFmtId="0" fontId="10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Nisbiy samaradorlik koeffitsenti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Лист5!$C$21</c:f>
              <c:strCache>
                <c:ptCount val="1"/>
                <c:pt idx="0">
                  <c:v>O‘zlashtirishi past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Лист5!$B$22:$B$24</c:f>
              <c:strCache>
                <c:ptCount val="3"/>
                <c:pt idx="0">
                  <c:v>Qabul qilish</c:v>
                </c:pt>
                <c:pt idx="1">
                  <c:v>O’zlashtirish</c:v>
                </c:pt>
                <c:pt idx="2">
                  <c:v>Eslab qolish mustahkamligi</c:v>
                </c:pt>
              </c:strCache>
            </c:strRef>
          </c:cat>
          <c:val>
            <c:numRef>
              <c:f>Лист5!$C$22:$C$24</c:f>
              <c:numCache>
                <c:formatCode>General</c:formatCode>
                <c:ptCount val="3"/>
                <c:pt idx="0">
                  <c:v>1.36</c:v>
                </c:pt>
                <c:pt idx="1">
                  <c:v>1.27</c:v>
                </c:pt>
                <c:pt idx="2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4-4E5C-9039-6E34970B2DF4}"/>
            </c:ext>
          </c:extLst>
        </c:ser>
        <c:ser>
          <c:idx val="2"/>
          <c:order val="2"/>
          <c:tx>
            <c:strRef>
              <c:f>Лист5!$E$21</c:f>
              <c:strCache>
                <c:ptCount val="1"/>
                <c:pt idx="0">
                  <c:v>O‘zlashtirishi yuqori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Лист5!$B$22:$B$24</c:f>
              <c:strCache>
                <c:ptCount val="3"/>
                <c:pt idx="0">
                  <c:v>Qabul qilish</c:v>
                </c:pt>
                <c:pt idx="1">
                  <c:v>O’zlashtirish</c:v>
                </c:pt>
                <c:pt idx="2">
                  <c:v>Eslab qolish mustahkamligi</c:v>
                </c:pt>
              </c:strCache>
            </c:strRef>
          </c:cat>
          <c:val>
            <c:numRef>
              <c:f>Лист5!$E$22:$E$24</c:f>
              <c:numCache>
                <c:formatCode>General</c:formatCode>
                <c:ptCount val="3"/>
                <c:pt idx="0">
                  <c:v>1.31</c:v>
                </c:pt>
                <c:pt idx="1">
                  <c:v>1.24</c:v>
                </c:pt>
                <c:pt idx="2">
                  <c:v>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4-4E5C-9039-6E34970B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5033680"/>
        <c:axId val="395038672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Лист5!$D$21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Лист5!$B$22:$B$24</c15:sqref>
                        </c15:formulaRef>
                      </c:ext>
                    </c:extLst>
                    <c:strCache>
                      <c:ptCount val="3"/>
                      <c:pt idx="0">
                        <c:v>Qabul qilish</c:v>
                      </c:pt>
                      <c:pt idx="1">
                        <c:v>O’zlashtirish</c:v>
                      </c:pt>
                      <c:pt idx="2">
                        <c:v>Eslab qolish mustahkamligi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Лист5!$D$22:$D$24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0.83</c:v>
                      </c:pt>
                      <c:pt idx="1">
                        <c:v>0.98</c:v>
                      </c:pt>
                      <c:pt idx="2">
                        <c:v>0.84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64-4E5C-9039-6E34970B2DF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Лист5!$F$21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Лист5!$B$22:$B$24</c15:sqref>
                        </c15:formulaRef>
                      </c:ext>
                    </c:extLst>
                    <c:strCache>
                      <c:ptCount val="3"/>
                      <c:pt idx="0">
                        <c:v>Qabul qilish</c:v>
                      </c:pt>
                      <c:pt idx="1">
                        <c:v>O’zlashtirish</c:v>
                      </c:pt>
                      <c:pt idx="2">
                        <c:v>Eslab qolish mustahkamligi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Лист5!$F$22:$F$24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0.66</c:v>
                      </c:pt>
                      <c:pt idx="1">
                        <c:v>0.66</c:v>
                      </c:pt>
                      <c:pt idx="2">
                        <c:v>0.75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64-4E5C-9039-6E34970B2DF4}"/>
                  </c:ext>
                </c:extLst>
              </c15:ser>
            </c15:filteredBarSeries>
          </c:ext>
        </c:extLst>
      </c:bar3DChart>
      <c:catAx>
        <c:axId val="39503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38672"/>
        <c:crosses val="autoZero"/>
        <c:auto val="1"/>
        <c:lblAlgn val="ctr"/>
        <c:lblOffset val="100"/>
        <c:noMultiLvlLbl val="0"/>
      </c:catAx>
      <c:valAx>
        <c:axId val="39503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3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b="1">
                <a:latin typeface="Times New Roman" panose="02020603050405020304" pitchFamily="18" charset="0"/>
                <a:cs typeface="Times New Roman" panose="02020603050405020304" pitchFamily="18" charset="0"/>
              </a:rPr>
              <a:t>2022-2023</a:t>
            </a: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 o'quv yili</a:t>
            </a:r>
            <a:endParaRPr lang="ru-RU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Лист11!$C$18</c:f>
              <c:strCache>
                <c:ptCount val="1"/>
                <c:pt idx="0">
                  <c:v>O‘zMU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Лист11!$D$16:$M$17</c15:sqref>
                  </c15:fullRef>
                </c:ext>
              </c:extLst>
              <c:f>Лист11!$F$16:$M$17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Лист11!$D$18:$M$18</c15:sqref>
                  </c15:fullRef>
                </c:ext>
              </c:extLst>
              <c:f>Лист11!$F$18:$M$18</c:f>
              <c:numCache>
                <c:formatCode>General</c:formatCode>
                <c:ptCount val="8"/>
                <c:pt idx="0">
                  <c:v>16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12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D-4716-B405-78E042151E29}"/>
            </c:ext>
          </c:extLst>
        </c:ser>
        <c:ser>
          <c:idx val="1"/>
          <c:order val="1"/>
          <c:tx>
            <c:strRef>
              <c:f>Лист11!$C$19</c:f>
              <c:strCache>
                <c:ptCount val="1"/>
                <c:pt idx="0">
                  <c:v>TAFU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Лист11!$D$16:$M$17</c15:sqref>
                  </c15:fullRef>
                </c:ext>
              </c:extLst>
              <c:f>Лист11!$F$16:$M$17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Лист11!$D$19:$M$19</c15:sqref>
                  </c15:fullRef>
                </c:ext>
              </c:extLst>
              <c:f>Лист11!$F$19:$M$19</c:f>
              <c:numCache>
                <c:formatCode>General</c:formatCode>
                <c:ptCount val="8"/>
                <c:pt idx="0">
                  <c:v>15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11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D-4716-B405-78E042151E29}"/>
            </c:ext>
          </c:extLst>
        </c:ser>
        <c:ser>
          <c:idx val="2"/>
          <c:order val="2"/>
          <c:tx>
            <c:strRef>
              <c:f>Лист11!$C$20</c:f>
              <c:strCache>
                <c:ptCount val="1"/>
                <c:pt idx="0">
                  <c:v>NamDPU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Лист11!$D$16:$M$17</c15:sqref>
                  </c15:fullRef>
                </c:ext>
              </c:extLst>
              <c:f>Лист11!$F$16:$M$17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Лист11!$D$20:$M$20</c15:sqref>
                  </c15:fullRef>
                </c:ext>
              </c:extLst>
              <c:f>Лист11!$F$20:$M$20</c:f>
              <c:numCache>
                <c:formatCode>General</c:formatCode>
                <c:ptCount val="8"/>
                <c:pt idx="0">
                  <c:v>15</c:v>
                </c:pt>
                <c:pt idx="1">
                  <c:v>11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9</c:v>
                </c:pt>
                <c:pt idx="6">
                  <c:v>11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ED-4716-B405-78E042151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535231"/>
        <c:axId val="817536895"/>
      </c:barChart>
      <c:catAx>
        <c:axId val="81753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536895"/>
        <c:crosses val="autoZero"/>
        <c:auto val="1"/>
        <c:lblAlgn val="ctr"/>
        <c:lblOffset val="100"/>
        <c:noMultiLvlLbl val="0"/>
      </c:catAx>
      <c:valAx>
        <c:axId val="8175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53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202</a:t>
            </a:r>
            <a:r>
              <a:rPr lang="en-US"/>
              <a:t>4</a:t>
            </a:r>
            <a:r>
              <a:rPr lang="ru-RU"/>
              <a:t>-202</a:t>
            </a:r>
            <a:r>
              <a:rPr lang="en-US"/>
              <a:t>5 o'quv yili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Лист11!$C$25</c:f>
              <c:strCache>
                <c:ptCount val="1"/>
                <c:pt idx="0">
                  <c:v>O‘zMU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Лист11!$D$23:$M$24</c15:sqref>
                  </c15:fullRef>
                </c:ext>
              </c:extLst>
              <c:f>Лист11!$F$23:$M$24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Лист11!$D$25:$M$25</c15:sqref>
                  </c15:fullRef>
                </c:ext>
              </c:extLst>
              <c:f>Лист11!$F$25:$M$25</c:f>
              <c:numCache>
                <c:formatCode>General</c:formatCode>
                <c:ptCount val="8"/>
                <c:pt idx="0">
                  <c:v>17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13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3-4F59-A50F-6B87F69789F3}"/>
            </c:ext>
          </c:extLst>
        </c:ser>
        <c:ser>
          <c:idx val="1"/>
          <c:order val="1"/>
          <c:tx>
            <c:strRef>
              <c:f>Лист11!$C$26</c:f>
              <c:strCache>
                <c:ptCount val="1"/>
                <c:pt idx="0">
                  <c:v>TAFU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Лист11!$D$23:$M$24</c15:sqref>
                  </c15:fullRef>
                </c:ext>
              </c:extLst>
              <c:f>Лист11!$F$23:$M$24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Лист11!$D$26:$M$26</c15:sqref>
                  </c15:fullRef>
                </c:ext>
              </c:extLst>
              <c:f>Лист11!$F$26:$M$26</c:f>
              <c:numCache>
                <c:formatCode>General</c:formatCode>
                <c:ptCount val="8"/>
                <c:pt idx="0">
                  <c:v>18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7</c:v>
                </c:pt>
                <c:pt idx="6">
                  <c:v>14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3-4F59-A50F-6B87F69789F3}"/>
            </c:ext>
          </c:extLst>
        </c:ser>
        <c:ser>
          <c:idx val="2"/>
          <c:order val="2"/>
          <c:tx>
            <c:strRef>
              <c:f>Лист11!$C$27</c:f>
              <c:strCache>
                <c:ptCount val="1"/>
                <c:pt idx="0">
                  <c:v>NamDPU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Лист11!$D$23:$M$24</c15:sqref>
                  </c15:fullRef>
                </c:ext>
              </c:extLst>
              <c:f>Лист11!$F$23:$M$24</c:f>
              <c:multiLvlStrCache>
                <c:ptCount val="8"/>
                <c:lvl>
                  <c:pt idx="0">
                    <c:v>To‘liq</c:v>
                  </c:pt>
                  <c:pt idx="1">
                    <c:v>Asosan</c:v>
                  </c:pt>
                  <c:pt idx="2">
                    <c:v>Qisman</c:v>
                  </c:pt>
                  <c:pt idx="3">
                    <c:v>Past</c:v>
                  </c:pt>
                  <c:pt idx="4">
                    <c:v>To‘liq</c:v>
                  </c:pt>
                  <c:pt idx="5">
                    <c:v>Asosan</c:v>
                  </c:pt>
                  <c:pt idx="6">
                    <c:v>Qisman</c:v>
                  </c:pt>
                  <c:pt idx="7">
                    <c:v>Past</c:v>
                  </c:pt>
                </c:lvl>
                <c:lvl>
                  <c:pt idx="0">
                    <c:v>Tajriba</c:v>
                  </c:pt>
                  <c:pt idx="4">
                    <c:v>Nazorat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Лист11!$D$27:$M$27</c15:sqref>
                  </c15:fullRef>
                </c:ext>
              </c:extLst>
              <c:f>Лист11!$F$27:$M$27</c:f>
              <c:numCache>
                <c:formatCode>General</c:formatCode>
                <c:ptCount val="8"/>
                <c:pt idx="0">
                  <c:v>16</c:v>
                </c:pt>
                <c:pt idx="1">
                  <c:v>11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7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03-4F59-A50F-6B87F6978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655055"/>
        <c:axId val="942654639"/>
      </c:barChart>
      <c:catAx>
        <c:axId val="94265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654639"/>
        <c:crosses val="autoZero"/>
        <c:auto val="1"/>
        <c:lblAlgn val="ctr"/>
        <c:lblOffset val="100"/>
        <c:noMultiLvlLbl val="0"/>
      </c:catAx>
      <c:valAx>
        <c:axId val="9426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265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w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4.wmf"/><Relationship Id="rId13" Type="http://schemas.openxmlformats.org/officeDocument/2006/relationships/image" Target="../media/image19.wmf"/><Relationship Id="rId3" Type="http://schemas.openxmlformats.org/officeDocument/2006/relationships/image" Target="../media/image9.wmf"/><Relationship Id="rId7" Type="http://schemas.openxmlformats.org/officeDocument/2006/relationships/image" Target="../media/image13.wmf"/><Relationship Id="rId12" Type="http://schemas.openxmlformats.org/officeDocument/2006/relationships/image" Target="../media/image18.wmf"/><Relationship Id="rId2" Type="http://schemas.openxmlformats.org/officeDocument/2006/relationships/image" Target="../media/image8.wmf"/><Relationship Id="rId1" Type="http://schemas.openxmlformats.org/officeDocument/2006/relationships/image" Target="../media/image7.wmf"/><Relationship Id="rId6" Type="http://schemas.openxmlformats.org/officeDocument/2006/relationships/image" Target="../media/image12.wmf"/><Relationship Id="rId11" Type="http://schemas.openxmlformats.org/officeDocument/2006/relationships/image" Target="../media/image17.wmf"/><Relationship Id="rId5" Type="http://schemas.openxmlformats.org/officeDocument/2006/relationships/image" Target="../media/image11.wmf"/><Relationship Id="rId10" Type="http://schemas.openxmlformats.org/officeDocument/2006/relationships/image" Target="../media/image16.wmf"/><Relationship Id="rId4" Type="http://schemas.openxmlformats.org/officeDocument/2006/relationships/image" Target="../media/image10.wmf"/><Relationship Id="rId9" Type="http://schemas.openxmlformats.org/officeDocument/2006/relationships/image" Target="../media/image15.wmf"/><Relationship Id="rId14" Type="http://schemas.openxmlformats.org/officeDocument/2006/relationships/image" Target="../media/image20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5</xdr:row>
          <xdr:rowOff>0</xdr:rowOff>
        </xdr:from>
        <xdr:to>
          <xdr:col>2</xdr:col>
          <xdr:colOff>0</xdr:colOff>
          <xdr:row>5</xdr:row>
          <xdr:rowOff>617220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5</xdr:row>
          <xdr:rowOff>53340</xdr:rowOff>
        </xdr:from>
        <xdr:to>
          <xdr:col>2</xdr:col>
          <xdr:colOff>1074420</xdr:colOff>
          <xdr:row>5</xdr:row>
          <xdr:rowOff>731520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</xdr:row>
          <xdr:rowOff>0</xdr:rowOff>
        </xdr:from>
        <xdr:to>
          <xdr:col>3</xdr:col>
          <xdr:colOff>1135380</xdr:colOff>
          <xdr:row>5</xdr:row>
          <xdr:rowOff>670560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0</xdr:rowOff>
        </xdr:from>
        <xdr:to>
          <xdr:col>4</xdr:col>
          <xdr:colOff>944880</xdr:colOff>
          <xdr:row>5</xdr:row>
          <xdr:rowOff>731520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0</xdr:rowOff>
        </xdr:from>
        <xdr:to>
          <xdr:col>5</xdr:col>
          <xdr:colOff>1013460</xdr:colOff>
          <xdr:row>5</xdr:row>
          <xdr:rowOff>678180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</xdr:row>
          <xdr:rowOff>0</xdr:rowOff>
        </xdr:from>
        <xdr:to>
          <xdr:col>6</xdr:col>
          <xdr:colOff>868680</xdr:colOff>
          <xdr:row>5</xdr:row>
          <xdr:rowOff>754380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87085</xdr:colOff>
      <xdr:row>7</xdr:row>
      <xdr:rowOff>484414</xdr:rowOff>
    </xdr:from>
    <xdr:to>
      <xdr:col>15</xdr:col>
      <xdr:colOff>391885</xdr:colOff>
      <xdr:row>15</xdr:row>
      <xdr:rowOff>375557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</xdr:row>
          <xdr:rowOff>0</xdr:rowOff>
        </xdr:from>
        <xdr:to>
          <xdr:col>3</xdr:col>
          <xdr:colOff>487680</xdr:colOff>
          <xdr:row>3</xdr:row>
          <xdr:rowOff>220980</xdr:rowOff>
        </xdr:to>
        <xdr:sp macro="" textlink="">
          <xdr:nvSpPr>
            <xdr:cNvPr id="11278" name="Object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4</xdr:col>
          <xdr:colOff>487680</xdr:colOff>
          <xdr:row>3</xdr:row>
          <xdr:rowOff>220980</xdr:rowOff>
        </xdr:to>
        <xdr:sp macro="" textlink="">
          <xdr:nvSpPr>
            <xdr:cNvPr id="11277" name="Object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3</xdr:row>
          <xdr:rowOff>0</xdr:rowOff>
        </xdr:from>
        <xdr:to>
          <xdr:col>5</xdr:col>
          <xdr:colOff>541020</xdr:colOff>
          <xdr:row>3</xdr:row>
          <xdr:rowOff>228600</xdr:rowOff>
        </xdr:to>
        <xdr:sp macro="" textlink="">
          <xdr:nvSpPr>
            <xdr:cNvPr id="11276" name="Object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0</xdr:rowOff>
        </xdr:from>
        <xdr:to>
          <xdr:col>6</xdr:col>
          <xdr:colOff>495300</xdr:colOff>
          <xdr:row>3</xdr:row>
          <xdr:rowOff>220980</xdr:rowOff>
        </xdr:to>
        <xdr:sp macro="" textlink="">
          <xdr:nvSpPr>
            <xdr:cNvPr id="11275" name="Object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</xdr:row>
          <xdr:rowOff>0</xdr:rowOff>
        </xdr:from>
        <xdr:to>
          <xdr:col>7</xdr:col>
          <xdr:colOff>480060</xdr:colOff>
          <xdr:row>3</xdr:row>
          <xdr:rowOff>220980</xdr:rowOff>
        </xdr:to>
        <xdr:sp macro="" textlink="">
          <xdr:nvSpPr>
            <xdr:cNvPr id="11274" name="Object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</xdr:row>
          <xdr:rowOff>0</xdr:rowOff>
        </xdr:from>
        <xdr:to>
          <xdr:col>3</xdr:col>
          <xdr:colOff>480060</xdr:colOff>
          <xdr:row>4</xdr:row>
          <xdr:rowOff>220980</xdr:rowOff>
        </xdr:to>
        <xdr:sp macro="" textlink="">
          <xdr:nvSpPr>
            <xdr:cNvPr id="11273" name="Object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</xdr:row>
          <xdr:rowOff>0</xdr:rowOff>
        </xdr:from>
        <xdr:to>
          <xdr:col>4</xdr:col>
          <xdr:colOff>502920</xdr:colOff>
          <xdr:row>4</xdr:row>
          <xdr:rowOff>220980</xdr:rowOff>
        </xdr:to>
        <xdr:sp macro="" textlink="">
          <xdr:nvSpPr>
            <xdr:cNvPr id="11272" name="Object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</xdr:row>
          <xdr:rowOff>0</xdr:rowOff>
        </xdr:from>
        <xdr:to>
          <xdr:col>5</xdr:col>
          <xdr:colOff>563880</xdr:colOff>
          <xdr:row>4</xdr:row>
          <xdr:rowOff>228600</xdr:rowOff>
        </xdr:to>
        <xdr:sp macro="" textlink="">
          <xdr:nvSpPr>
            <xdr:cNvPr id="11271" name="Object 7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4</xdr:row>
          <xdr:rowOff>0</xdr:rowOff>
        </xdr:from>
        <xdr:to>
          <xdr:col>6</xdr:col>
          <xdr:colOff>563880</xdr:colOff>
          <xdr:row>4</xdr:row>
          <xdr:rowOff>220980</xdr:rowOff>
        </xdr:to>
        <xdr:sp macro="" textlink="">
          <xdr:nvSpPr>
            <xdr:cNvPr id="11270" name="Object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4</xdr:row>
          <xdr:rowOff>0</xdr:rowOff>
        </xdr:from>
        <xdr:to>
          <xdr:col>7</xdr:col>
          <xdr:colOff>487680</xdr:colOff>
          <xdr:row>4</xdr:row>
          <xdr:rowOff>220980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5</xdr:row>
          <xdr:rowOff>30480</xdr:rowOff>
        </xdr:from>
        <xdr:to>
          <xdr:col>3</xdr:col>
          <xdr:colOff>1196340</xdr:colOff>
          <xdr:row>5</xdr:row>
          <xdr:rowOff>213360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53340</xdr:rowOff>
        </xdr:from>
        <xdr:to>
          <xdr:col>4</xdr:col>
          <xdr:colOff>1150620</xdr:colOff>
          <xdr:row>5</xdr:row>
          <xdr:rowOff>220980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5</xdr:row>
          <xdr:rowOff>53340</xdr:rowOff>
        </xdr:from>
        <xdr:to>
          <xdr:col>5</xdr:col>
          <xdr:colOff>1158240</xdr:colOff>
          <xdr:row>5</xdr:row>
          <xdr:rowOff>228600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5</xdr:row>
          <xdr:rowOff>45720</xdr:rowOff>
        </xdr:from>
        <xdr:to>
          <xdr:col>6</xdr:col>
          <xdr:colOff>1264920</xdr:colOff>
          <xdr:row>5</xdr:row>
          <xdr:rowOff>220980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10886</xdr:colOff>
      <xdr:row>11</xdr:row>
      <xdr:rowOff>244929</xdr:rowOff>
    </xdr:from>
    <xdr:to>
      <xdr:col>24</xdr:col>
      <xdr:colOff>315686</xdr:colOff>
      <xdr:row>21</xdr:row>
      <xdr:rowOff>59872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413658</xdr:colOff>
      <xdr:row>21</xdr:row>
      <xdr:rowOff>59872</xdr:rowOff>
    </xdr:from>
    <xdr:to>
      <xdr:col>24</xdr:col>
      <xdr:colOff>108858</xdr:colOff>
      <xdr:row>31</xdr:row>
      <xdr:rowOff>157843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13" Type="http://schemas.openxmlformats.org/officeDocument/2006/relationships/oleObject" Target="../embeddings/oleObject6.bin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wmf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5.bin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w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wmf"/><Relationship Id="rId13" Type="http://schemas.openxmlformats.org/officeDocument/2006/relationships/oleObject" Target="../embeddings/oleObject12.bin"/><Relationship Id="rId18" Type="http://schemas.openxmlformats.org/officeDocument/2006/relationships/image" Target="../media/image14.wmf"/><Relationship Id="rId26" Type="http://schemas.openxmlformats.org/officeDocument/2006/relationships/image" Target="../media/image18.wmf"/><Relationship Id="rId3" Type="http://schemas.openxmlformats.org/officeDocument/2006/relationships/oleObject" Target="../embeddings/oleObject7.bin"/><Relationship Id="rId21" Type="http://schemas.openxmlformats.org/officeDocument/2006/relationships/oleObject" Target="../embeddings/oleObject16.bin"/><Relationship Id="rId7" Type="http://schemas.openxmlformats.org/officeDocument/2006/relationships/oleObject" Target="../embeddings/oleObject9.bin"/><Relationship Id="rId12" Type="http://schemas.openxmlformats.org/officeDocument/2006/relationships/image" Target="../media/image11.wmf"/><Relationship Id="rId17" Type="http://schemas.openxmlformats.org/officeDocument/2006/relationships/oleObject" Target="../embeddings/oleObject14.bin"/><Relationship Id="rId25" Type="http://schemas.openxmlformats.org/officeDocument/2006/relationships/oleObject" Target="../embeddings/oleObject18.bin"/><Relationship Id="rId2" Type="http://schemas.openxmlformats.org/officeDocument/2006/relationships/vmlDrawing" Target="../drawings/vmlDrawing2.vml"/><Relationship Id="rId16" Type="http://schemas.openxmlformats.org/officeDocument/2006/relationships/image" Target="../media/image13.wmf"/><Relationship Id="rId20" Type="http://schemas.openxmlformats.org/officeDocument/2006/relationships/image" Target="../media/image15.wmf"/><Relationship Id="rId29" Type="http://schemas.openxmlformats.org/officeDocument/2006/relationships/oleObject" Target="../embeddings/oleObject20.bin"/><Relationship Id="rId1" Type="http://schemas.openxmlformats.org/officeDocument/2006/relationships/drawing" Target="../drawings/drawing2.xml"/><Relationship Id="rId6" Type="http://schemas.openxmlformats.org/officeDocument/2006/relationships/image" Target="../media/image8.wmf"/><Relationship Id="rId11" Type="http://schemas.openxmlformats.org/officeDocument/2006/relationships/oleObject" Target="../embeddings/oleObject11.bin"/><Relationship Id="rId24" Type="http://schemas.openxmlformats.org/officeDocument/2006/relationships/image" Target="../media/image17.wmf"/><Relationship Id="rId5" Type="http://schemas.openxmlformats.org/officeDocument/2006/relationships/oleObject" Target="../embeddings/oleObject8.bin"/><Relationship Id="rId15" Type="http://schemas.openxmlformats.org/officeDocument/2006/relationships/oleObject" Target="../embeddings/oleObject13.bin"/><Relationship Id="rId23" Type="http://schemas.openxmlformats.org/officeDocument/2006/relationships/oleObject" Target="../embeddings/oleObject17.bin"/><Relationship Id="rId28" Type="http://schemas.openxmlformats.org/officeDocument/2006/relationships/image" Target="../media/image19.wmf"/><Relationship Id="rId10" Type="http://schemas.openxmlformats.org/officeDocument/2006/relationships/image" Target="../media/image10.wmf"/><Relationship Id="rId19" Type="http://schemas.openxmlformats.org/officeDocument/2006/relationships/oleObject" Target="../embeddings/oleObject15.bin"/><Relationship Id="rId4" Type="http://schemas.openxmlformats.org/officeDocument/2006/relationships/image" Target="../media/image7.wmf"/><Relationship Id="rId9" Type="http://schemas.openxmlformats.org/officeDocument/2006/relationships/oleObject" Target="../embeddings/oleObject10.bin"/><Relationship Id="rId14" Type="http://schemas.openxmlformats.org/officeDocument/2006/relationships/image" Target="../media/image12.wmf"/><Relationship Id="rId22" Type="http://schemas.openxmlformats.org/officeDocument/2006/relationships/image" Target="../media/image16.wmf"/><Relationship Id="rId27" Type="http://schemas.openxmlformats.org/officeDocument/2006/relationships/oleObject" Target="../embeddings/oleObject19.bin"/><Relationship Id="rId30" Type="http://schemas.openxmlformats.org/officeDocument/2006/relationships/image" Target="../media/image20.wmf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opLeftCell="A6" workbookViewId="0">
      <selection activeCell="B4" sqref="B4:E15"/>
    </sheetView>
  </sheetViews>
  <sheetFormatPr defaultRowHeight="14.4" x14ac:dyDescent="0.3"/>
  <cols>
    <col min="3" max="3" width="20.33203125" customWidth="1"/>
    <col min="4" max="4" width="21.44140625" customWidth="1"/>
    <col min="5" max="5" width="19.6640625" customWidth="1"/>
  </cols>
  <sheetData>
    <row r="2" spans="2:5" x14ac:dyDescent="0.3">
      <c r="B2" s="45" t="s">
        <v>41</v>
      </c>
      <c r="C2" s="45"/>
      <c r="D2" s="45"/>
      <c r="E2" s="45"/>
    </row>
    <row r="3" spans="2:5" ht="15" thickBot="1" x14ac:dyDescent="0.35"/>
    <row r="4" spans="2:5" ht="36" customHeight="1" thickBot="1" x14ac:dyDescent="0.35">
      <c r="B4" s="46" t="s">
        <v>0</v>
      </c>
      <c r="C4" s="42" t="s">
        <v>1</v>
      </c>
      <c r="D4" s="44"/>
      <c r="E4" s="1" t="s">
        <v>2</v>
      </c>
    </row>
    <row r="5" spans="2:5" ht="36.6" thickBot="1" x14ac:dyDescent="0.35">
      <c r="B5" s="47"/>
      <c r="C5" s="2" t="s">
        <v>3</v>
      </c>
      <c r="D5" s="2" t="s">
        <v>4</v>
      </c>
      <c r="E5" s="2" t="s">
        <v>5</v>
      </c>
    </row>
    <row r="6" spans="2:5" ht="42.6" customHeight="1" thickBot="1" x14ac:dyDescent="0.35">
      <c r="B6" s="42" t="s">
        <v>6</v>
      </c>
      <c r="C6" s="43"/>
      <c r="D6" s="43"/>
      <c r="E6" s="44"/>
    </row>
    <row r="7" spans="2:5" ht="36.6" thickBot="1" x14ac:dyDescent="0.35">
      <c r="B7" s="3" t="s">
        <v>7</v>
      </c>
      <c r="C7" s="2">
        <v>29</v>
      </c>
      <c r="D7" s="2">
        <v>31</v>
      </c>
      <c r="E7" s="2">
        <f>C7+D7</f>
        <v>60</v>
      </c>
    </row>
    <row r="8" spans="2:5" ht="36.6" thickBot="1" x14ac:dyDescent="0.35">
      <c r="B8" s="3" t="s">
        <v>8</v>
      </c>
      <c r="C8" s="2">
        <v>32</v>
      </c>
      <c r="D8" s="2">
        <v>34</v>
      </c>
      <c r="E8" s="2">
        <f>C8+D8</f>
        <v>66</v>
      </c>
    </row>
    <row r="9" spans="2:5" ht="48" customHeight="1" thickBot="1" x14ac:dyDescent="0.35">
      <c r="B9" s="42" t="s">
        <v>9</v>
      </c>
      <c r="C9" s="43"/>
      <c r="D9" s="43"/>
      <c r="E9" s="44"/>
    </row>
    <row r="10" spans="2:5" ht="36.6" thickBot="1" x14ac:dyDescent="0.35">
      <c r="B10" s="3" t="s">
        <v>7</v>
      </c>
      <c r="C10" s="2">
        <v>32</v>
      </c>
      <c r="D10" s="2">
        <v>29</v>
      </c>
      <c r="E10" s="2">
        <f>D10+C10</f>
        <v>61</v>
      </c>
    </row>
    <row r="11" spans="2:5" ht="48.6" customHeight="1" thickBot="1" x14ac:dyDescent="0.35">
      <c r="B11" s="3" t="s">
        <v>8</v>
      </c>
      <c r="C11" s="2">
        <v>33</v>
      </c>
      <c r="D11" s="2">
        <v>36</v>
      </c>
      <c r="E11" s="2">
        <f>D11+C11</f>
        <v>69</v>
      </c>
    </row>
    <row r="12" spans="2:5" ht="34.200000000000003" customHeight="1" thickBot="1" x14ac:dyDescent="0.35">
      <c r="B12" s="42" t="s">
        <v>10</v>
      </c>
      <c r="C12" s="43"/>
      <c r="D12" s="43"/>
      <c r="E12" s="44"/>
    </row>
    <row r="13" spans="2:5" ht="36.6" thickBot="1" x14ac:dyDescent="0.35">
      <c r="B13" s="3" t="s">
        <v>7</v>
      </c>
      <c r="C13" s="2">
        <v>30</v>
      </c>
      <c r="D13" s="2">
        <v>32</v>
      </c>
      <c r="E13" s="2">
        <f>D13+C13</f>
        <v>62</v>
      </c>
    </row>
    <row r="14" spans="2:5" ht="36.6" thickBot="1" x14ac:dyDescent="0.35">
      <c r="B14" s="3" t="s">
        <v>8</v>
      </c>
      <c r="C14" s="2">
        <v>29</v>
      </c>
      <c r="D14" s="2">
        <v>33</v>
      </c>
      <c r="E14" s="2">
        <f>D14+C14</f>
        <v>62</v>
      </c>
    </row>
    <row r="15" spans="2:5" ht="18.600000000000001" thickBot="1" x14ac:dyDescent="0.35">
      <c r="B15" s="3" t="s">
        <v>11</v>
      </c>
      <c r="C15" s="2">
        <f>C14+C13+C11+C10+C8+C7</f>
        <v>185</v>
      </c>
      <c r="D15" s="2">
        <f>D14+D13+D11+D10+D8+D7</f>
        <v>195</v>
      </c>
      <c r="E15" s="2">
        <f>E13+E14+E11+E10+E8+E7</f>
        <v>380</v>
      </c>
    </row>
  </sheetData>
  <mergeCells count="6">
    <mergeCell ref="B12:E12"/>
    <mergeCell ref="B2:E2"/>
    <mergeCell ref="B4:B5"/>
    <mergeCell ref="C4:D4"/>
    <mergeCell ref="B6:E6"/>
    <mergeCell ref="B9:E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zoomScaleNormal="100" workbookViewId="0">
      <selection activeCell="C8" sqref="C8"/>
    </sheetView>
  </sheetViews>
  <sheetFormatPr defaultRowHeight="14.4" x14ac:dyDescent="0.3"/>
  <cols>
    <col min="1" max="1" width="8.88671875" customWidth="1"/>
    <col min="2" max="2" width="21.5546875" customWidth="1"/>
    <col min="3" max="3" width="18.6640625" customWidth="1"/>
    <col min="4" max="4" width="20.77734375" customWidth="1"/>
    <col min="5" max="5" width="23.6640625" customWidth="1"/>
  </cols>
  <sheetData>
    <row r="2" spans="1:5" x14ac:dyDescent="0.3">
      <c r="C2" s="45" t="s">
        <v>42</v>
      </c>
      <c r="D2" s="45"/>
    </row>
    <row r="4" spans="1:5" ht="72.599999999999994" thickBot="1" x14ac:dyDescent="0.35">
      <c r="A4" s="7" t="s">
        <v>12</v>
      </c>
      <c r="B4" s="7" t="s">
        <v>15</v>
      </c>
      <c r="C4" s="7" t="s">
        <v>16</v>
      </c>
      <c r="D4" s="7" t="s">
        <v>17</v>
      </c>
      <c r="E4" s="7" t="s">
        <v>18</v>
      </c>
    </row>
    <row r="5" spans="1:5" ht="18.600000000000001" thickBot="1" x14ac:dyDescent="0.35">
      <c r="A5" s="7">
        <v>1</v>
      </c>
      <c r="B5" s="7" t="s">
        <v>13</v>
      </c>
      <c r="C5" s="40">
        <v>4.91</v>
      </c>
      <c r="D5" s="6">
        <v>3.37</v>
      </c>
      <c r="E5" s="6">
        <v>68.599999999999994</v>
      </c>
    </row>
    <row r="6" spans="1:5" ht="18.600000000000001" thickBot="1" x14ac:dyDescent="0.35">
      <c r="A6" s="7">
        <v>2</v>
      </c>
      <c r="B6" s="7" t="s">
        <v>14</v>
      </c>
      <c r="C6" s="5">
        <v>7.98</v>
      </c>
      <c r="D6" s="2">
        <v>2.4500000000000002</v>
      </c>
      <c r="E6" s="2">
        <v>30.7</v>
      </c>
    </row>
    <row r="8" spans="1:5" x14ac:dyDescent="0.3">
      <c r="C8" s="8">
        <f>C6/C5</f>
        <v>1.6252545824847251</v>
      </c>
      <c r="D8" s="8">
        <f t="shared" ref="D8:E8" si="0">D6/D5</f>
        <v>0.72700296735905046</v>
      </c>
      <c r="E8" s="8">
        <f t="shared" si="0"/>
        <v>0.44752186588921283</v>
      </c>
    </row>
  </sheetData>
  <mergeCells count="1">
    <mergeCell ref="C2:D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V147"/>
  <sheetViews>
    <sheetView tabSelected="1" topLeftCell="B4" workbookViewId="0">
      <selection activeCell="U13" sqref="U13"/>
    </sheetView>
  </sheetViews>
  <sheetFormatPr defaultRowHeight="14.4" x14ac:dyDescent="0.3"/>
  <sheetData>
    <row r="1" spans="4:22" ht="31.8" thickBot="1" x14ac:dyDescent="0.35">
      <c r="S1" s="87" t="s">
        <v>76</v>
      </c>
      <c r="T1" s="87" t="s">
        <v>77</v>
      </c>
      <c r="U1" s="83"/>
      <c r="V1" s="83"/>
    </row>
    <row r="2" spans="4:22" ht="16.2" thickBot="1" x14ac:dyDescent="0.35">
      <c r="S2" s="84" t="s">
        <v>211</v>
      </c>
      <c r="T2" s="84">
        <v>10</v>
      </c>
      <c r="U2" s="83">
        <v>4.91</v>
      </c>
      <c r="V2" s="83">
        <f>POWER(T2-U2,2)</f>
        <v>25.908099999999997</v>
      </c>
    </row>
    <row r="3" spans="4:22" ht="16.2" thickBot="1" x14ac:dyDescent="0.35">
      <c r="S3" s="84" t="s">
        <v>214</v>
      </c>
      <c r="T3" s="84">
        <v>7.99</v>
      </c>
      <c r="U3" s="83">
        <v>4.91</v>
      </c>
      <c r="V3" s="83">
        <f>POWER(T3-U3,2)</f>
        <v>9.4863999999999997</v>
      </c>
    </row>
    <row r="4" spans="4:22" ht="31.8" thickBot="1" x14ac:dyDescent="0.35">
      <c r="D4" s="79" t="s">
        <v>20</v>
      </c>
      <c r="E4" s="80" t="s">
        <v>76</v>
      </c>
      <c r="F4" s="80" t="s">
        <v>77</v>
      </c>
      <c r="G4" s="80"/>
      <c r="H4" s="80"/>
      <c r="I4" s="81" t="s">
        <v>20</v>
      </c>
      <c r="J4" s="81" t="s">
        <v>76</v>
      </c>
      <c r="K4" s="81" t="s">
        <v>77</v>
      </c>
      <c r="L4" s="81"/>
      <c r="M4" s="81"/>
      <c r="N4" s="81" t="s">
        <v>20</v>
      </c>
      <c r="O4" s="81" t="s">
        <v>76</v>
      </c>
      <c r="P4" s="81" t="s">
        <v>77</v>
      </c>
      <c r="Q4" s="88"/>
      <c r="R4" s="88"/>
      <c r="S4" s="84" t="s">
        <v>217</v>
      </c>
      <c r="T4" s="84">
        <v>1.0900000000000001</v>
      </c>
      <c r="U4" s="83">
        <v>4.91</v>
      </c>
      <c r="V4" s="83">
        <f>POWER(T4-U4,2)</f>
        <v>14.592400000000001</v>
      </c>
    </row>
    <row r="5" spans="4:22" ht="16.2" thickBot="1" x14ac:dyDescent="0.35">
      <c r="D5" s="82" t="s">
        <v>62</v>
      </c>
      <c r="E5" s="83" t="s">
        <v>78</v>
      </c>
      <c r="F5" s="83">
        <v>7.39</v>
      </c>
      <c r="G5" s="83">
        <v>4.91</v>
      </c>
      <c r="H5" s="83">
        <f>POWER(F5-G5,2)</f>
        <v>6.1503999999999976</v>
      </c>
      <c r="I5" s="84" t="s">
        <v>62</v>
      </c>
      <c r="J5" s="84" t="s">
        <v>79</v>
      </c>
      <c r="K5" s="84">
        <v>0</v>
      </c>
      <c r="L5" s="83">
        <v>4.91</v>
      </c>
      <c r="M5" s="83">
        <f>POWER(K5-L5,2)</f>
        <v>24.1081</v>
      </c>
      <c r="N5" s="84" t="s">
        <v>62</v>
      </c>
      <c r="O5" s="84" t="s">
        <v>80</v>
      </c>
      <c r="P5" s="84">
        <v>2.62</v>
      </c>
      <c r="Q5" s="83">
        <v>4.91</v>
      </c>
      <c r="R5" s="83">
        <f>POWER(P5-Q5,2)</f>
        <v>5.2441000000000004</v>
      </c>
      <c r="S5" s="84" t="s">
        <v>220</v>
      </c>
      <c r="T5" s="84">
        <v>0.1</v>
      </c>
      <c r="U5" s="83">
        <v>4.91</v>
      </c>
      <c r="V5" s="83">
        <f>POWER(T5-U5,2)</f>
        <v>23.136100000000006</v>
      </c>
    </row>
    <row r="6" spans="4:22" ht="16.2" thickBot="1" x14ac:dyDescent="0.35">
      <c r="D6" s="82" t="s">
        <v>62</v>
      </c>
      <c r="E6" s="83" t="s">
        <v>81</v>
      </c>
      <c r="F6" s="83">
        <v>4.4400000000000004</v>
      </c>
      <c r="G6" s="83">
        <v>4.91</v>
      </c>
      <c r="H6" s="83">
        <f t="shared" ref="H6:H69" si="0">POWER(F6-G6,2)</f>
        <v>0.22089999999999976</v>
      </c>
      <c r="I6" s="84" t="s">
        <v>62</v>
      </c>
      <c r="J6" s="84" t="s">
        <v>82</v>
      </c>
      <c r="K6" s="84">
        <v>1.73</v>
      </c>
      <c r="L6" s="83">
        <v>4.91</v>
      </c>
      <c r="M6" s="83">
        <f t="shared" ref="M6:M48" si="1">POWER(K6-L6,2)</f>
        <v>10.112400000000001</v>
      </c>
      <c r="N6" s="84" t="s">
        <v>62</v>
      </c>
      <c r="O6" s="84" t="s">
        <v>83</v>
      </c>
      <c r="P6" s="84">
        <v>7.47</v>
      </c>
      <c r="Q6" s="83">
        <v>4.91</v>
      </c>
      <c r="R6" s="83">
        <f t="shared" ref="R6:R48" si="2">POWER(P6-Q6,2)</f>
        <v>6.5535999999999976</v>
      </c>
      <c r="S6" s="84" t="s">
        <v>223</v>
      </c>
      <c r="T6" s="84">
        <v>7.32</v>
      </c>
      <c r="U6" s="83">
        <v>4.91</v>
      </c>
      <c r="V6" s="83">
        <f>POWER(T6-U6,2)</f>
        <v>5.8081000000000005</v>
      </c>
    </row>
    <row r="7" spans="4:22" ht="16.2" thickBot="1" x14ac:dyDescent="0.35">
      <c r="D7" s="82" t="s">
        <v>62</v>
      </c>
      <c r="E7" s="83" t="s">
        <v>84</v>
      </c>
      <c r="F7" s="83">
        <v>8.09</v>
      </c>
      <c r="G7" s="83">
        <v>4.91</v>
      </c>
      <c r="H7" s="83">
        <f t="shared" si="0"/>
        <v>10.112399999999997</v>
      </c>
      <c r="I7" s="84" t="s">
        <v>62</v>
      </c>
      <c r="J7" s="84" t="s">
        <v>85</v>
      </c>
      <c r="K7" s="84">
        <v>2.94</v>
      </c>
      <c r="L7" s="83">
        <v>4.91</v>
      </c>
      <c r="M7" s="83">
        <f t="shared" si="1"/>
        <v>3.8809000000000009</v>
      </c>
      <c r="N7" s="84" t="s">
        <v>62</v>
      </c>
      <c r="O7" s="84" t="s">
        <v>86</v>
      </c>
      <c r="P7" s="84">
        <v>5.53</v>
      </c>
      <c r="Q7" s="83">
        <v>4.91</v>
      </c>
      <c r="R7" s="83">
        <f t="shared" si="2"/>
        <v>0.38440000000000013</v>
      </c>
      <c r="S7" s="84" t="s">
        <v>226</v>
      </c>
      <c r="T7" s="84">
        <v>4.04</v>
      </c>
      <c r="U7" s="83">
        <v>4.91</v>
      </c>
      <c r="V7" s="83">
        <f>POWER(T7-U7,2)</f>
        <v>0.75690000000000024</v>
      </c>
    </row>
    <row r="8" spans="4:22" ht="16.2" thickBot="1" x14ac:dyDescent="0.35">
      <c r="D8" s="82" t="s">
        <v>62</v>
      </c>
      <c r="E8" s="83" t="s">
        <v>87</v>
      </c>
      <c r="F8" s="83">
        <v>10</v>
      </c>
      <c r="G8" s="83">
        <v>4.91</v>
      </c>
      <c r="H8" s="83">
        <f t="shared" si="0"/>
        <v>25.908099999999997</v>
      </c>
      <c r="I8" s="84" t="s">
        <v>62</v>
      </c>
      <c r="J8" s="84" t="s">
        <v>88</v>
      </c>
      <c r="K8" s="84">
        <v>10</v>
      </c>
      <c r="L8" s="83">
        <v>4.91</v>
      </c>
      <c r="M8" s="83">
        <f t="shared" si="1"/>
        <v>25.908099999999997</v>
      </c>
      <c r="N8" s="84" t="s">
        <v>62</v>
      </c>
      <c r="O8" s="84" t="s">
        <v>89</v>
      </c>
      <c r="P8" s="84">
        <v>9.58</v>
      </c>
      <c r="Q8" s="83">
        <v>4.91</v>
      </c>
      <c r="R8" s="83">
        <f t="shared" si="2"/>
        <v>21.808899999999998</v>
      </c>
      <c r="V8" s="83">
        <f>SUM(V2:W7)</f>
        <v>79.687999999999988</v>
      </c>
    </row>
    <row r="9" spans="4:22" ht="16.2" thickBot="1" x14ac:dyDescent="0.35">
      <c r="D9" s="82" t="s">
        <v>62</v>
      </c>
      <c r="E9" s="83" t="s">
        <v>90</v>
      </c>
      <c r="F9" s="83">
        <v>3.99</v>
      </c>
      <c r="G9" s="83">
        <v>4.91</v>
      </c>
      <c r="H9" s="83">
        <f t="shared" si="0"/>
        <v>0.84639999999999982</v>
      </c>
      <c r="I9" s="84" t="s">
        <v>62</v>
      </c>
      <c r="J9" s="84" t="s">
        <v>91</v>
      </c>
      <c r="K9" s="84">
        <v>6.68</v>
      </c>
      <c r="L9" s="83">
        <v>4.91</v>
      </c>
      <c r="M9" s="83">
        <f t="shared" si="1"/>
        <v>3.1328999999999985</v>
      </c>
      <c r="N9" s="84" t="s">
        <v>62</v>
      </c>
      <c r="O9" s="84" t="s">
        <v>92</v>
      </c>
      <c r="P9" s="84">
        <v>1.82</v>
      </c>
      <c r="Q9" s="83">
        <v>4.91</v>
      </c>
      <c r="R9" s="83">
        <f t="shared" si="2"/>
        <v>9.5480999999999998</v>
      </c>
    </row>
    <row r="10" spans="4:22" ht="16.2" thickBot="1" x14ac:dyDescent="0.35">
      <c r="D10" s="82" t="s">
        <v>62</v>
      </c>
      <c r="E10" s="83" t="s">
        <v>93</v>
      </c>
      <c r="F10" s="83">
        <v>3.99</v>
      </c>
      <c r="G10" s="83">
        <v>4.91</v>
      </c>
      <c r="H10" s="83">
        <f t="shared" si="0"/>
        <v>0.84639999999999982</v>
      </c>
      <c r="I10" s="84" t="s">
        <v>62</v>
      </c>
      <c r="J10" s="84" t="s">
        <v>94</v>
      </c>
      <c r="K10" s="84">
        <v>0</v>
      </c>
      <c r="L10" s="83">
        <v>4.91</v>
      </c>
      <c r="M10" s="83">
        <f t="shared" si="1"/>
        <v>24.1081</v>
      </c>
      <c r="N10" s="84" t="s">
        <v>62</v>
      </c>
      <c r="O10" s="84" t="s">
        <v>95</v>
      </c>
      <c r="P10" s="84">
        <v>3.56</v>
      </c>
      <c r="Q10" s="83">
        <v>4.91</v>
      </c>
      <c r="R10" s="83">
        <f t="shared" si="2"/>
        <v>1.8225000000000002</v>
      </c>
    </row>
    <row r="11" spans="4:22" ht="16.2" thickBot="1" x14ac:dyDescent="0.35">
      <c r="D11" s="82" t="s">
        <v>62</v>
      </c>
      <c r="E11" s="83" t="s">
        <v>96</v>
      </c>
      <c r="F11" s="83">
        <v>10</v>
      </c>
      <c r="G11" s="83">
        <v>4.91</v>
      </c>
      <c r="H11" s="83">
        <f t="shared" si="0"/>
        <v>25.908099999999997</v>
      </c>
      <c r="I11" s="84" t="s">
        <v>62</v>
      </c>
      <c r="J11" s="84" t="s">
        <v>97</v>
      </c>
      <c r="K11" s="84">
        <v>6.59</v>
      </c>
      <c r="L11" s="83">
        <v>4.91</v>
      </c>
      <c r="M11" s="83">
        <f t="shared" si="1"/>
        <v>2.8223999999999991</v>
      </c>
      <c r="N11" s="84" t="s">
        <v>62</v>
      </c>
      <c r="O11" s="84" t="s">
        <v>98</v>
      </c>
      <c r="P11" s="84">
        <v>3.26</v>
      </c>
      <c r="Q11" s="83">
        <v>4.91</v>
      </c>
      <c r="R11" s="83">
        <f t="shared" si="2"/>
        <v>2.722500000000001</v>
      </c>
    </row>
    <row r="12" spans="4:22" ht="16.2" thickBot="1" x14ac:dyDescent="0.35">
      <c r="D12" s="82" t="s">
        <v>62</v>
      </c>
      <c r="E12" s="83" t="s">
        <v>99</v>
      </c>
      <c r="F12" s="83">
        <v>8.65</v>
      </c>
      <c r="G12" s="83">
        <v>4.91</v>
      </c>
      <c r="H12" s="83">
        <f t="shared" si="0"/>
        <v>13.987600000000002</v>
      </c>
      <c r="I12" s="84" t="s">
        <v>62</v>
      </c>
      <c r="J12" s="84" t="s">
        <v>100</v>
      </c>
      <c r="K12" s="84">
        <v>3.29</v>
      </c>
      <c r="L12" s="83">
        <v>4.91</v>
      </c>
      <c r="M12" s="83">
        <f t="shared" si="1"/>
        <v>2.6244000000000005</v>
      </c>
      <c r="N12" s="84" t="s">
        <v>62</v>
      </c>
      <c r="O12" s="84" t="s">
        <v>101</v>
      </c>
      <c r="P12" s="84">
        <v>0</v>
      </c>
      <c r="Q12" s="83">
        <v>4.91</v>
      </c>
      <c r="R12" s="83">
        <f t="shared" si="2"/>
        <v>24.1081</v>
      </c>
    </row>
    <row r="13" spans="4:22" ht="16.2" thickBot="1" x14ac:dyDescent="0.35">
      <c r="D13" s="82" t="s">
        <v>62</v>
      </c>
      <c r="E13" s="83" t="s">
        <v>102</v>
      </c>
      <c r="F13" s="83">
        <v>2.9</v>
      </c>
      <c r="G13" s="83">
        <v>4.91</v>
      </c>
      <c r="H13" s="83">
        <f t="shared" si="0"/>
        <v>4.0401000000000007</v>
      </c>
      <c r="I13" s="84" t="s">
        <v>62</v>
      </c>
      <c r="J13" s="84" t="s">
        <v>103</v>
      </c>
      <c r="K13" s="84">
        <v>1.93</v>
      </c>
      <c r="L13" s="83">
        <v>4.91</v>
      </c>
      <c r="M13" s="83">
        <f t="shared" si="1"/>
        <v>8.8804000000000034</v>
      </c>
      <c r="N13" s="84" t="s">
        <v>62</v>
      </c>
      <c r="O13" s="84" t="s">
        <v>104</v>
      </c>
      <c r="P13" s="84">
        <v>6.46</v>
      </c>
      <c r="Q13" s="83">
        <v>4.91</v>
      </c>
      <c r="R13" s="83">
        <f t="shared" si="2"/>
        <v>2.4024999999999994</v>
      </c>
      <c r="U13">
        <f>SUM(H5:H49,M5:M48,R5:R49,V2:V7)/185</f>
        <v>13.197480540540536</v>
      </c>
    </row>
    <row r="14" spans="4:22" ht="16.2" thickBot="1" x14ac:dyDescent="0.35">
      <c r="D14" s="82" t="s">
        <v>62</v>
      </c>
      <c r="E14" s="83" t="s">
        <v>105</v>
      </c>
      <c r="F14" s="83">
        <v>7.6</v>
      </c>
      <c r="G14" s="83">
        <v>4.91</v>
      </c>
      <c r="H14" s="83">
        <f t="shared" si="0"/>
        <v>7.2360999999999978</v>
      </c>
      <c r="I14" s="84" t="s">
        <v>62</v>
      </c>
      <c r="J14" s="84" t="s">
        <v>106</v>
      </c>
      <c r="K14" s="84">
        <v>7.92</v>
      </c>
      <c r="L14" s="83">
        <v>4.91</v>
      </c>
      <c r="M14" s="83">
        <f t="shared" si="1"/>
        <v>9.0600999999999985</v>
      </c>
      <c r="N14" s="84" t="s">
        <v>62</v>
      </c>
      <c r="O14" s="84" t="s">
        <v>107</v>
      </c>
      <c r="P14" s="84">
        <v>6.29</v>
      </c>
      <c r="Q14" s="83">
        <v>4.91</v>
      </c>
      <c r="R14" s="83">
        <f t="shared" si="2"/>
        <v>1.9043999999999996</v>
      </c>
    </row>
    <row r="15" spans="4:22" ht="16.2" thickBot="1" x14ac:dyDescent="0.35">
      <c r="D15" s="82" t="s">
        <v>62</v>
      </c>
      <c r="E15" s="83" t="s">
        <v>108</v>
      </c>
      <c r="F15" s="83">
        <v>2.93</v>
      </c>
      <c r="G15" s="83">
        <v>4.91</v>
      </c>
      <c r="H15" s="83">
        <f t="shared" si="0"/>
        <v>3.9203999999999999</v>
      </c>
      <c r="I15" s="84" t="s">
        <v>62</v>
      </c>
      <c r="J15" s="84" t="s">
        <v>109</v>
      </c>
      <c r="K15" s="84">
        <v>9.8699999999999992</v>
      </c>
      <c r="L15" s="83">
        <v>4.91</v>
      </c>
      <c r="M15" s="83">
        <f t="shared" si="1"/>
        <v>24.601599999999991</v>
      </c>
      <c r="N15" s="84" t="s">
        <v>62</v>
      </c>
      <c r="O15" s="84" t="s">
        <v>110</v>
      </c>
      <c r="P15" s="84">
        <v>5.0999999999999996</v>
      </c>
      <c r="Q15" s="83">
        <v>4.91</v>
      </c>
      <c r="R15" s="83">
        <f t="shared" si="2"/>
        <v>3.6099999999999813E-2</v>
      </c>
    </row>
    <row r="16" spans="4:22" ht="16.2" thickBot="1" x14ac:dyDescent="0.35">
      <c r="D16" s="82" t="s">
        <v>62</v>
      </c>
      <c r="E16" s="83" t="s">
        <v>111</v>
      </c>
      <c r="F16" s="83">
        <v>2.91</v>
      </c>
      <c r="G16" s="83">
        <v>4.91</v>
      </c>
      <c r="H16" s="83">
        <f t="shared" si="0"/>
        <v>4</v>
      </c>
      <c r="I16" s="84" t="s">
        <v>62</v>
      </c>
      <c r="J16" s="84" t="s">
        <v>112</v>
      </c>
      <c r="K16" s="84">
        <v>9.41</v>
      </c>
      <c r="L16" s="83">
        <v>4.91</v>
      </c>
      <c r="M16" s="83">
        <f t="shared" si="1"/>
        <v>20.25</v>
      </c>
      <c r="N16" s="84" t="s">
        <v>62</v>
      </c>
      <c r="O16" s="84" t="s">
        <v>113</v>
      </c>
      <c r="P16" s="84">
        <v>3.99</v>
      </c>
      <c r="Q16" s="83">
        <v>4.91</v>
      </c>
      <c r="R16" s="83">
        <f t="shared" si="2"/>
        <v>0.84639999999999982</v>
      </c>
    </row>
    <row r="17" spans="4:18" ht="16.2" thickBot="1" x14ac:dyDescent="0.35">
      <c r="D17" s="82" t="s">
        <v>62</v>
      </c>
      <c r="E17" s="83" t="s">
        <v>114</v>
      </c>
      <c r="F17" s="83">
        <v>6.21</v>
      </c>
      <c r="G17" s="83">
        <v>4.91</v>
      </c>
      <c r="H17" s="83">
        <f t="shared" si="0"/>
        <v>1.6899999999999995</v>
      </c>
      <c r="I17" s="84" t="s">
        <v>62</v>
      </c>
      <c r="J17" s="84" t="s">
        <v>115</v>
      </c>
      <c r="K17" s="84">
        <v>1.18</v>
      </c>
      <c r="L17" s="83">
        <v>4.91</v>
      </c>
      <c r="M17" s="83">
        <f t="shared" si="1"/>
        <v>13.912900000000004</v>
      </c>
      <c r="N17" s="84" t="s">
        <v>62</v>
      </c>
      <c r="O17" s="84" t="s">
        <v>116</v>
      </c>
      <c r="P17" s="84">
        <v>0</v>
      </c>
      <c r="Q17" s="83">
        <v>4.91</v>
      </c>
      <c r="R17" s="83">
        <f t="shared" si="2"/>
        <v>24.1081</v>
      </c>
    </row>
    <row r="18" spans="4:18" ht="16.2" thickBot="1" x14ac:dyDescent="0.35">
      <c r="D18" s="82" t="s">
        <v>62</v>
      </c>
      <c r="E18" s="83" t="s">
        <v>117</v>
      </c>
      <c r="F18" s="83">
        <v>0</v>
      </c>
      <c r="G18" s="83">
        <v>4.91</v>
      </c>
      <c r="H18" s="83">
        <f t="shared" si="0"/>
        <v>24.1081</v>
      </c>
      <c r="I18" s="84" t="s">
        <v>62</v>
      </c>
      <c r="J18" s="84" t="s">
        <v>118</v>
      </c>
      <c r="K18" s="84">
        <v>3.64</v>
      </c>
      <c r="L18" s="83">
        <v>4.91</v>
      </c>
      <c r="M18" s="83">
        <f t="shared" si="1"/>
        <v>1.6129</v>
      </c>
      <c r="N18" s="84" t="s">
        <v>62</v>
      </c>
      <c r="O18" s="84" t="s">
        <v>119</v>
      </c>
      <c r="P18" s="84">
        <v>3.12</v>
      </c>
      <c r="Q18" s="83">
        <v>4.91</v>
      </c>
      <c r="R18" s="83">
        <f t="shared" si="2"/>
        <v>3.2040999999999999</v>
      </c>
    </row>
    <row r="19" spans="4:18" ht="16.2" thickBot="1" x14ac:dyDescent="0.35">
      <c r="D19" s="82" t="s">
        <v>62</v>
      </c>
      <c r="E19" s="83" t="s">
        <v>120</v>
      </c>
      <c r="F19" s="83">
        <v>0</v>
      </c>
      <c r="G19" s="83">
        <v>4.91</v>
      </c>
      <c r="H19" s="83">
        <f t="shared" si="0"/>
        <v>24.1081</v>
      </c>
      <c r="I19" s="84" t="s">
        <v>62</v>
      </c>
      <c r="J19" s="84" t="s">
        <v>121</v>
      </c>
      <c r="K19" s="84">
        <v>6.62</v>
      </c>
      <c r="L19" s="83">
        <v>4.91</v>
      </c>
      <c r="M19" s="83">
        <f t="shared" si="1"/>
        <v>2.9240999999999997</v>
      </c>
      <c r="N19" s="84" t="s">
        <v>62</v>
      </c>
      <c r="O19" s="84" t="s">
        <v>122</v>
      </c>
      <c r="P19" s="84">
        <v>3.49</v>
      </c>
      <c r="Q19" s="83">
        <v>4.91</v>
      </c>
      <c r="R19" s="83">
        <f t="shared" si="2"/>
        <v>2.0164</v>
      </c>
    </row>
    <row r="20" spans="4:18" ht="16.2" thickBot="1" x14ac:dyDescent="0.35">
      <c r="D20" s="82" t="s">
        <v>62</v>
      </c>
      <c r="E20" s="83" t="s">
        <v>123</v>
      </c>
      <c r="F20" s="83">
        <v>2.4700000000000002</v>
      </c>
      <c r="G20" s="83">
        <v>4.91</v>
      </c>
      <c r="H20" s="83">
        <f t="shared" si="0"/>
        <v>5.9535999999999998</v>
      </c>
      <c r="I20" s="84" t="s">
        <v>62</v>
      </c>
      <c r="J20" s="84" t="s">
        <v>124</v>
      </c>
      <c r="K20" s="84">
        <v>9.6199999999999992</v>
      </c>
      <c r="L20" s="83">
        <v>4.91</v>
      </c>
      <c r="M20" s="83">
        <f t="shared" si="1"/>
        <v>22.18409999999999</v>
      </c>
      <c r="N20" s="84" t="s">
        <v>62</v>
      </c>
      <c r="O20" s="84" t="s">
        <v>125</v>
      </c>
      <c r="P20" s="84">
        <v>1.35</v>
      </c>
      <c r="Q20" s="83">
        <v>4.91</v>
      </c>
      <c r="R20" s="83">
        <f t="shared" si="2"/>
        <v>12.6736</v>
      </c>
    </row>
    <row r="21" spans="4:18" ht="16.2" thickBot="1" x14ac:dyDescent="0.35">
      <c r="D21" s="82" t="s">
        <v>62</v>
      </c>
      <c r="E21" s="83" t="s">
        <v>126</v>
      </c>
      <c r="F21" s="83">
        <v>0.37</v>
      </c>
      <c r="G21" s="83">
        <v>4.91</v>
      </c>
      <c r="H21" s="83">
        <f t="shared" si="0"/>
        <v>20.611599999999999</v>
      </c>
      <c r="I21" s="84" t="s">
        <v>62</v>
      </c>
      <c r="J21" s="84" t="s">
        <v>127</v>
      </c>
      <c r="K21" s="84">
        <v>2.85</v>
      </c>
      <c r="L21" s="83">
        <v>4.91</v>
      </c>
      <c r="M21" s="83">
        <f t="shared" si="1"/>
        <v>4.2435999999999998</v>
      </c>
      <c r="N21" s="84" t="s">
        <v>62</v>
      </c>
      <c r="O21" s="84" t="s">
        <v>128</v>
      </c>
      <c r="P21" s="84">
        <v>4.33</v>
      </c>
      <c r="Q21" s="83">
        <v>4.91</v>
      </c>
      <c r="R21" s="83">
        <f t="shared" si="2"/>
        <v>0.33640000000000009</v>
      </c>
    </row>
    <row r="22" spans="4:18" ht="16.2" thickBot="1" x14ac:dyDescent="0.35">
      <c r="D22" s="82" t="s">
        <v>62</v>
      </c>
      <c r="E22" s="83" t="s">
        <v>129</v>
      </c>
      <c r="F22" s="83">
        <v>6.54</v>
      </c>
      <c r="G22" s="83">
        <v>4.91</v>
      </c>
      <c r="H22" s="83">
        <f t="shared" si="0"/>
        <v>2.6568999999999998</v>
      </c>
      <c r="I22" s="84" t="s">
        <v>62</v>
      </c>
      <c r="J22" s="84" t="s">
        <v>130</v>
      </c>
      <c r="K22" s="84">
        <v>4.22</v>
      </c>
      <c r="L22" s="83">
        <v>4.91</v>
      </c>
      <c r="M22" s="83">
        <f t="shared" si="1"/>
        <v>0.47610000000000052</v>
      </c>
      <c r="N22" s="84" t="s">
        <v>62</v>
      </c>
      <c r="O22" s="84" t="s">
        <v>131</v>
      </c>
      <c r="P22" s="84">
        <v>6.96</v>
      </c>
      <c r="Q22" s="83">
        <v>4.91</v>
      </c>
      <c r="R22" s="83">
        <f t="shared" si="2"/>
        <v>4.2024999999999997</v>
      </c>
    </row>
    <row r="23" spans="4:18" ht="16.2" thickBot="1" x14ac:dyDescent="0.35">
      <c r="D23" s="82" t="s">
        <v>62</v>
      </c>
      <c r="E23" s="83" t="s">
        <v>132</v>
      </c>
      <c r="F23" s="83">
        <v>0.86</v>
      </c>
      <c r="G23" s="83">
        <v>4.91</v>
      </c>
      <c r="H23" s="83">
        <f t="shared" si="0"/>
        <v>16.4025</v>
      </c>
      <c r="I23" s="84" t="s">
        <v>62</v>
      </c>
      <c r="J23" s="84" t="s">
        <v>133</v>
      </c>
      <c r="K23" s="84">
        <v>0</v>
      </c>
      <c r="L23" s="83">
        <v>4.91</v>
      </c>
      <c r="M23" s="83">
        <f t="shared" si="1"/>
        <v>24.1081</v>
      </c>
      <c r="N23" s="84" t="s">
        <v>62</v>
      </c>
      <c r="O23" s="84" t="s">
        <v>134</v>
      </c>
      <c r="P23" s="84">
        <v>10</v>
      </c>
      <c r="Q23" s="83">
        <v>4.91</v>
      </c>
      <c r="R23" s="83">
        <f t="shared" si="2"/>
        <v>25.908099999999997</v>
      </c>
    </row>
    <row r="24" spans="4:18" ht="16.2" thickBot="1" x14ac:dyDescent="0.35">
      <c r="D24" s="82" t="s">
        <v>62</v>
      </c>
      <c r="E24" s="83" t="s">
        <v>135</v>
      </c>
      <c r="F24" s="83">
        <v>0</v>
      </c>
      <c r="G24" s="83">
        <v>4.91</v>
      </c>
      <c r="H24" s="83">
        <f t="shared" si="0"/>
        <v>24.1081</v>
      </c>
      <c r="I24" s="84" t="s">
        <v>62</v>
      </c>
      <c r="J24" s="84" t="s">
        <v>136</v>
      </c>
      <c r="K24" s="84">
        <v>0</v>
      </c>
      <c r="L24" s="83">
        <v>4.91</v>
      </c>
      <c r="M24" s="83">
        <f t="shared" si="1"/>
        <v>24.1081</v>
      </c>
      <c r="N24" s="84" t="s">
        <v>62</v>
      </c>
      <c r="O24" s="84" t="s">
        <v>137</v>
      </c>
      <c r="P24" s="84">
        <v>5.89</v>
      </c>
      <c r="Q24" s="83">
        <v>4.91</v>
      </c>
      <c r="R24" s="83">
        <f t="shared" si="2"/>
        <v>0.96039999999999914</v>
      </c>
    </row>
    <row r="25" spans="4:18" ht="16.2" thickBot="1" x14ac:dyDescent="0.35">
      <c r="D25" s="82" t="s">
        <v>62</v>
      </c>
      <c r="E25" s="83" t="s">
        <v>138</v>
      </c>
      <c r="F25" s="83">
        <v>10</v>
      </c>
      <c r="G25" s="83">
        <v>4.91</v>
      </c>
      <c r="H25" s="83">
        <f t="shared" si="0"/>
        <v>25.908099999999997</v>
      </c>
      <c r="I25" s="84" t="s">
        <v>62</v>
      </c>
      <c r="J25" s="84" t="s">
        <v>139</v>
      </c>
      <c r="K25" s="84">
        <v>8.86</v>
      </c>
      <c r="L25" s="83">
        <v>4.91</v>
      </c>
      <c r="M25" s="83">
        <f t="shared" si="1"/>
        <v>15.602499999999994</v>
      </c>
      <c r="N25" s="84" t="s">
        <v>62</v>
      </c>
      <c r="O25" s="84" t="s">
        <v>140</v>
      </c>
      <c r="P25" s="84">
        <v>6.28</v>
      </c>
      <c r="Q25" s="83">
        <v>4.91</v>
      </c>
      <c r="R25" s="83">
        <f t="shared" si="2"/>
        <v>1.8769000000000002</v>
      </c>
    </row>
    <row r="26" spans="4:18" ht="16.2" thickBot="1" x14ac:dyDescent="0.35">
      <c r="D26" s="82" t="s">
        <v>62</v>
      </c>
      <c r="E26" s="83" t="s">
        <v>141</v>
      </c>
      <c r="F26" s="83">
        <v>4.03</v>
      </c>
      <c r="G26" s="83">
        <v>4.91</v>
      </c>
      <c r="H26" s="83">
        <f t="shared" si="0"/>
        <v>0.77439999999999987</v>
      </c>
      <c r="I26" s="84" t="s">
        <v>62</v>
      </c>
      <c r="J26" s="84" t="s">
        <v>142</v>
      </c>
      <c r="K26" s="84">
        <v>10</v>
      </c>
      <c r="L26" s="83">
        <v>4.91</v>
      </c>
      <c r="M26" s="83">
        <f t="shared" si="1"/>
        <v>25.908099999999997</v>
      </c>
      <c r="N26" s="84" t="s">
        <v>62</v>
      </c>
      <c r="O26" s="84" t="s">
        <v>143</v>
      </c>
      <c r="P26" s="84">
        <v>4.7300000000000004</v>
      </c>
      <c r="Q26" s="83">
        <v>4.91</v>
      </c>
      <c r="R26" s="83">
        <f t="shared" si="2"/>
        <v>3.2399999999999901E-2</v>
      </c>
    </row>
    <row r="27" spans="4:18" ht="16.2" thickBot="1" x14ac:dyDescent="0.35">
      <c r="D27" s="82" t="s">
        <v>62</v>
      </c>
      <c r="E27" s="83" t="s">
        <v>144</v>
      </c>
      <c r="F27" s="83">
        <v>5.39</v>
      </c>
      <c r="G27" s="83">
        <v>4.91</v>
      </c>
      <c r="H27" s="83">
        <f t="shared" si="0"/>
        <v>0.23039999999999955</v>
      </c>
      <c r="I27" s="84" t="s">
        <v>62</v>
      </c>
      <c r="J27" s="84" t="s">
        <v>145</v>
      </c>
      <c r="K27" s="84">
        <v>4.75</v>
      </c>
      <c r="L27" s="83">
        <v>4.91</v>
      </c>
      <c r="M27" s="83">
        <f t="shared" si="1"/>
        <v>2.5600000000000046E-2</v>
      </c>
      <c r="N27" s="84" t="s">
        <v>62</v>
      </c>
      <c r="O27" s="84" t="s">
        <v>146</v>
      </c>
      <c r="P27" s="84">
        <v>0</v>
      </c>
      <c r="Q27" s="83">
        <v>4.91</v>
      </c>
      <c r="R27" s="83">
        <f t="shared" si="2"/>
        <v>24.1081</v>
      </c>
    </row>
    <row r="28" spans="4:18" ht="16.2" thickBot="1" x14ac:dyDescent="0.35">
      <c r="D28" s="82" t="s">
        <v>62</v>
      </c>
      <c r="E28" s="83" t="s">
        <v>147</v>
      </c>
      <c r="F28" s="83">
        <v>0</v>
      </c>
      <c r="G28" s="83">
        <v>4.91</v>
      </c>
      <c r="H28" s="83">
        <f t="shared" si="0"/>
        <v>24.1081</v>
      </c>
      <c r="I28" s="84" t="s">
        <v>62</v>
      </c>
      <c r="J28" s="84" t="s">
        <v>148</v>
      </c>
      <c r="K28" s="84">
        <v>9.75</v>
      </c>
      <c r="L28" s="83">
        <v>4.91</v>
      </c>
      <c r="M28" s="83">
        <f t="shared" si="1"/>
        <v>23.425599999999999</v>
      </c>
      <c r="N28" s="84" t="s">
        <v>62</v>
      </c>
      <c r="O28" s="84" t="s">
        <v>149</v>
      </c>
      <c r="P28" s="84">
        <v>4.96</v>
      </c>
      <c r="Q28" s="83">
        <v>4.91</v>
      </c>
      <c r="R28" s="83">
        <f t="shared" si="2"/>
        <v>2.4999999999999823E-3</v>
      </c>
    </row>
    <row r="29" spans="4:18" ht="16.2" thickBot="1" x14ac:dyDescent="0.35">
      <c r="D29" s="82" t="s">
        <v>62</v>
      </c>
      <c r="E29" s="83" t="s">
        <v>150</v>
      </c>
      <c r="F29" s="83">
        <v>2.5499999999999998</v>
      </c>
      <c r="G29" s="83">
        <v>4.91</v>
      </c>
      <c r="H29" s="83">
        <f t="shared" si="0"/>
        <v>5.5696000000000012</v>
      </c>
      <c r="I29" s="84" t="s">
        <v>62</v>
      </c>
      <c r="J29" s="84" t="s">
        <v>151</v>
      </c>
      <c r="K29" s="84">
        <v>6.76</v>
      </c>
      <c r="L29" s="83">
        <v>4.91</v>
      </c>
      <c r="M29" s="83">
        <f t="shared" si="1"/>
        <v>3.4224999999999985</v>
      </c>
      <c r="N29" s="84" t="s">
        <v>62</v>
      </c>
      <c r="O29" s="84" t="s">
        <v>152</v>
      </c>
      <c r="P29" s="84">
        <v>5.36</v>
      </c>
      <c r="Q29" s="83">
        <v>4.91</v>
      </c>
      <c r="R29" s="83">
        <f t="shared" si="2"/>
        <v>0.20250000000000015</v>
      </c>
    </row>
    <row r="30" spans="4:18" ht="16.2" thickBot="1" x14ac:dyDescent="0.35">
      <c r="D30" s="82" t="s">
        <v>62</v>
      </c>
      <c r="E30" s="83" t="s">
        <v>153</v>
      </c>
      <c r="F30" s="83">
        <v>5.6</v>
      </c>
      <c r="G30" s="83">
        <v>4.91</v>
      </c>
      <c r="H30" s="83">
        <f t="shared" si="0"/>
        <v>0.4760999999999993</v>
      </c>
      <c r="I30" s="84" t="s">
        <v>62</v>
      </c>
      <c r="J30" s="84" t="s">
        <v>154</v>
      </c>
      <c r="K30" s="84">
        <v>2.08</v>
      </c>
      <c r="L30" s="83">
        <v>4.91</v>
      </c>
      <c r="M30" s="83">
        <f t="shared" si="1"/>
        <v>8.0089000000000006</v>
      </c>
      <c r="N30" s="84" t="s">
        <v>62</v>
      </c>
      <c r="O30" s="84" t="s">
        <v>155</v>
      </c>
      <c r="P30" s="84">
        <v>10</v>
      </c>
      <c r="Q30" s="83">
        <v>4.91</v>
      </c>
      <c r="R30" s="83">
        <f t="shared" si="2"/>
        <v>25.908099999999997</v>
      </c>
    </row>
    <row r="31" spans="4:18" ht="16.2" thickBot="1" x14ac:dyDescent="0.35">
      <c r="D31" s="82" t="s">
        <v>62</v>
      </c>
      <c r="E31" s="83" t="s">
        <v>156</v>
      </c>
      <c r="F31" s="83">
        <v>0</v>
      </c>
      <c r="G31" s="83">
        <v>4.91</v>
      </c>
      <c r="H31" s="83">
        <f t="shared" si="0"/>
        <v>24.1081</v>
      </c>
      <c r="I31" s="84" t="s">
        <v>62</v>
      </c>
      <c r="J31" s="84" t="s">
        <v>157</v>
      </c>
      <c r="K31" s="84">
        <v>6.76</v>
      </c>
      <c r="L31" s="83">
        <v>4.91</v>
      </c>
      <c r="M31" s="83">
        <f t="shared" si="1"/>
        <v>3.4224999999999985</v>
      </c>
      <c r="N31" s="84" t="s">
        <v>62</v>
      </c>
      <c r="O31" s="84" t="s">
        <v>158</v>
      </c>
      <c r="P31" s="84">
        <v>4.1900000000000004</v>
      </c>
      <c r="Q31" s="83">
        <v>4.91</v>
      </c>
      <c r="R31" s="83">
        <f t="shared" si="2"/>
        <v>0.51839999999999964</v>
      </c>
    </row>
    <row r="32" spans="4:18" ht="16.2" thickBot="1" x14ac:dyDescent="0.35">
      <c r="D32" s="82" t="s">
        <v>62</v>
      </c>
      <c r="E32" s="83" t="s">
        <v>159</v>
      </c>
      <c r="F32" s="83">
        <v>6.83</v>
      </c>
      <c r="G32" s="83">
        <v>4.91</v>
      </c>
      <c r="H32" s="83">
        <f t="shared" si="0"/>
        <v>3.6863999999999999</v>
      </c>
      <c r="I32" s="84" t="s">
        <v>62</v>
      </c>
      <c r="J32" s="84" t="s">
        <v>160</v>
      </c>
      <c r="K32" s="84">
        <v>10</v>
      </c>
      <c r="L32" s="83">
        <v>4.91</v>
      </c>
      <c r="M32" s="83">
        <f t="shared" si="1"/>
        <v>25.908099999999997</v>
      </c>
      <c r="N32" s="84" t="s">
        <v>62</v>
      </c>
      <c r="O32" s="84" t="s">
        <v>161</v>
      </c>
      <c r="P32" s="84">
        <v>6.48</v>
      </c>
      <c r="Q32" s="83">
        <v>4.91</v>
      </c>
      <c r="R32" s="83">
        <f t="shared" si="2"/>
        <v>2.464900000000001</v>
      </c>
    </row>
    <row r="33" spans="4:18" ht="16.2" thickBot="1" x14ac:dyDescent="0.35">
      <c r="D33" s="82" t="s">
        <v>62</v>
      </c>
      <c r="E33" s="83" t="s">
        <v>162</v>
      </c>
      <c r="F33" s="83">
        <v>2.29</v>
      </c>
      <c r="G33" s="83">
        <v>4.91</v>
      </c>
      <c r="H33" s="83">
        <f t="shared" si="0"/>
        <v>6.8644000000000007</v>
      </c>
      <c r="I33" s="84" t="s">
        <v>62</v>
      </c>
      <c r="J33" s="84" t="s">
        <v>163</v>
      </c>
      <c r="K33" s="84">
        <v>4.91</v>
      </c>
      <c r="L33" s="83">
        <v>4.91</v>
      </c>
      <c r="M33" s="83">
        <f t="shared" si="1"/>
        <v>0</v>
      </c>
      <c r="N33" s="84" t="s">
        <v>62</v>
      </c>
      <c r="O33" s="84" t="s">
        <v>164</v>
      </c>
      <c r="P33" s="84">
        <v>4.92</v>
      </c>
      <c r="Q33" s="83">
        <v>4.91</v>
      </c>
      <c r="R33" s="83">
        <f t="shared" si="2"/>
        <v>9.9999999999995736E-5</v>
      </c>
    </row>
    <row r="34" spans="4:18" ht="16.2" thickBot="1" x14ac:dyDescent="0.35">
      <c r="D34" s="82" t="s">
        <v>62</v>
      </c>
      <c r="E34" s="83" t="s">
        <v>165</v>
      </c>
      <c r="F34" s="83">
        <v>3.72</v>
      </c>
      <c r="G34" s="83">
        <v>4.91</v>
      </c>
      <c r="H34" s="83">
        <f t="shared" si="0"/>
        <v>1.4160999999999999</v>
      </c>
      <c r="I34" s="84" t="s">
        <v>62</v>
      </c>
      <c r="J34" s="84" t="s">
        <v>166</v>
      </c>
      <c r="K34" s="84">
        <v>10</v>
      </c>
      <c r="L34" s="83">
        <v>4.91</v>
      </c>
      <c r="M34" s="83">
        <f t="shared" si="1"/>
        <v>25.908099999999997</v>
      </c>
      <c r="N34" s="84" t="s">
        <v>62</v>
      </c>
      <c r="O34" s="84" t="s">
        <v>167</v>
      </c>
      <c r="P34" s="84">
        <v>0</v>
      </c>
      <c r="Q34" s="83">
        <v>4.91</v>
      </c>
      <c r="R34" s="83">
        <f t="shared" si="2"/>
        <v>24.1081</v>
      </c>
    </row>
    <row r="35" spans="4:18" ht="16.2" thickBot="1" x14ac:dyDescent="0.35">
      <c r="D35" s="82" t="s">
        <v>62</v>
      </c>
      <c r="E35" s="83" t="s">
        <v>168</v>
      </c>
      <c r="F35" s="83">
        <v>2.2799999999999998</v>
      </c>
      <c r="G35" s="83">
        <v>4.91</v>
      </c>
      <c r="H35" s="83">
        <f t="shared" si="0"/>
        <v>6.9169000000000018</v>
      </c>
      <c r="I35" s="84" t="s">
        <v>62</v>
      </c>
      <c r="J35" s="84" t="s">
        <v>169</v>
      </c>
      <c r="K35" s="84">
        <v>0</v>
      </c>
      <c r="L35" s="83">
        <v>4.91</v>
      </c>
      <c r="M35" s="83">
        <f t="shared" si="1"/>
        <v>24.1081</v>
      </c>
      <c r="N35" s="84" t="s">
        <v>62</v>
      </c>
      <c r="O35" s="84" t="s">
        <v>170</v>
      </c>
      <c r="P35" s="84">
        <v>10</v>
      </c>
      <c r="Q35" s="83">
        <v>4.91</v>
      </c>
      <c r="R35" s="83">
        <f t="shared" si="2"/>
        <v>25.908099999999997</v>
      </c>
    </row>
    <row r="36" spans="4:18" ht="16.2" thickBot="1" x14ac:dyDescent="0.35">
      <c r="D36" s="82" t="s">
        <v>62</v>
      </c>
      <c r="E36" s="83" t="s">
        <v>171</v>
      </c>
      <c r="F36" s="83">
        <v>10</v>
      </c>
      <c r="G36" s="83">
        <v>4.91</v>
      </c>
      <c r="H36" s="83">
        <f t="shared" si="0"/>
        <v>25.908099999999997</v>
      </c>
      <c r="I36" s="84" t="s">
        <v>62</v>
      </c>
      <c r="J36" s="84" t="s">
        <v>172</v>
      </c>
      <c r="K36" s="84">
        <v>8.9</v>
      </c>
      <c r="L36" s="83">
        <v>4.91</v>
      </c>
      <c r="M36" s="83">
        <f t="shared" si="1"/>
        <v>15.920100000000001</v>
      </c>
      <c r="N36" s="84" t="s">
        <v>62</v>
      </c>
      <c r="O36" s="84" t="s">
        <v>173</v>
      </c>
      <c r="P36" s="84">
        <v>8.58</v>
      </c>
      <c r="Q36" s="83">
        <v>4.91</v>
      </c>
      <c r="R36" s="83">
        <f t="shared" si="2"/>
        <v>13.4689</v>
      </c>
    </row>
    <row r="37" spans="4:18" ht="16.2" thickBot="1" x14ac:dyDescent="0.35">
      <c r="D37" s="82" t="s">
        <v>62</v>
      </c>
      <c r="E37" s="83" t="s">
        <v>174</v>
      </c>
      <c r="F37" s="83">
        <v>5.0199999999999996</v>
      </c>
      <c r="G37" s="83">
        <v>4.91</v>
      </c>
      <c r="H37" s="83">
        <f t="shared" si="0"/>
        <v>1.2099999999999875E-2</v>
      </c>
      <c r="I37" s="84" t="s">
        <v>62</v>
      </c>
      <c r="J37" s="84" t="s">
        <v>175</v>
      </c>
      <c r="K37" s="84">
        <v>5.48</v>
      </c>
      <c r="L37" s="83">
        <v>4.91</v>
      </c>
      <c r="M37" s="83">
        <f t="shared" si="1"/>
        <v>0.3249000000000003</v>
      </c>
      <c r="N37" s="84" t="s">
        <v>62</v>
      </c>
      <c r="O37" s="84" t="s">
        <v>176</v>
      </c>
      <c r="P37" s="84">
        <v>8.76</v>
      </c>
      <c r="Q37" s="83">
        <v>4.91</v>
      </c>
      <c r="R37" s="83">
        <f t="shared" si="2"/>
        <v>14.822499999999998</v>
      </c>
    </row>
    <row r="38" spans="4:18" ht="16.2" thickBot="1" x14ac:dyDescent="0.35">
      <c r="D38" s="82" t="s">
        <v>62</v>
      </c>
      <c r="E38" s="83" t="s">
        <v>177</v>
      </c>
      <c r="F38" s="83">
        <v>0.16</v>
      </c>
      <c r="G38" s="83">
        <v>4.91</v>
      </c>
      <c r="H38" s="83">
        <f t="shared" si="0"/>
        <v>22.5625</v>
      </c>
      <c r="I38" s="84" t="s">
        <v>62</v>
      </c>
      <c r="J38" s="84" t="s">
        <v>178</v>
      </c>
      <c r="K38" s="84">
        <v>3.69</v>
      </c>
      <c r="L38" s="83">
        <v>4.91</v>
      </c>
      <c r="M38" s="83">
        <f t="shared" si="1"/>
        <v>1.4884000000000004</v>
      </c>
      <c r="N38" s="84" t="s">
        <v>62</v>
      </c>
      <c r="O38" s="84" t="s">
        <v>179</v>
      </c>
      <c r="P38" s="84">
        <v>0.85</v>
      </c>
      <c r="Q38" s="83">
        <v>4.91</v>
      </c>
      <c r="R38" s="83">
        <f t="shared" si="2"/>
        <v>16.483600000000003</v>
      </c>
    </row>
    <row r="39" spans="4:18" ht="16.2" thickBot="1" x14ac:dyDescent="0.35">
      <c r="D39" s="82" t="s">
        <v>62</v>
      </c>
      <c r="E39" s="83" t="s">
        <v>180</v>
      </c>
      <c r="F39" s="83">
        <v>8.9</v>
      </c>
      <c r="G39" s="83">
        <v>4.91</v>
      </c>
      <c r="H39" s="83">
        <f t="shared" si="0"/>
        <v>15.920100000000001</v>
      </c>
      <c r="I39" s="84" t="s">
        <v>62</v>
      </c>
      <c r="J39" s="84" t="s">
        <v>181</v>
      </c>
      <c r="K39" s="84">
        <v>5.51</v>
      </c>
      <c r="L39" s="83">
        <v>4.91</v>
      </c>
      <c r="M39" s="83">
        <f t="shared" si="1"/>
        <v>0.3599999999999996</v>
      </c>
      <c r="N39" s="84" t="s">
        <v>62</v>
      </c>
      <c r="O39" s="84" t="s">
        <v>182</v>
      </c>
      <c r="P39" s="84">
        <v>10</v>
      </c>
      <c r="Q39" s="83">
        <v>4.91</v>
      </c>
      <c r="R39" s="83">
        <f t="shared" si="2"/>
        <v>25.908099999999997</v>
      </c>
    </row>
    <row r="40" spans="4:18" ht="16.2" thickBot="1" x14ac:dyDescent="0.35">
      <c r="D40" s="82" t="s">
        <v>62</v>
      </c>
      <c r="E40" s="83" t="s">
        <v>183</v>
      </c>
      <c r="F40" s="83">
        <v>0</v>
      </c>
      <c r="G40" s="83">
        <v>4.91</v>
      </c>
      <c r="H40" s="83">
        <f t="shared" si="0"/>
        <v>24.1081</v>
      </c>
      <c r="I40" s="84" t="s">
        <v>62</v>
      </c>
      <c r="J40" s="84" t="s">
        <v>184</v>
      </c>
      <c r="K40" s="84">
        <v>0</v>
      </c>
      <c r="L40" s="83">
        <v>4.91</v>
      </c>
      <c r="M40" s="83">
        <f t="shared" si="1"/>
        <v>24.1081</v>
      </c>
      <c r="N40" s="84" t="s">
        <v>62</v>
      </c>
      <c r="O40" s="84" t="s">
        <v>185</v>
      </c>
      <c r="P40" s="84">
        <v>0</v>
      </c>
      <c r="Q40" s="83">
        <v>4.91</v>
      </c>
      <c r="R40" s="83">
        <f t="shared" si="2"/>
        <v>24.1081</v>
      </c>
    </row>
    <row r="41" spans="4:18" ht="16.2" thickBot="1" x14ac:dyDescent="0.35">
      <c r="D41" s="82" t="s">
        <v>62</v>
      </c>
      <c r="E41" s="83" t="s">
        <v>186</v>
      </c>
      <c r="F41" s="83">
        <v>6.05</v>
      </c>
      <c r="G41" s="83">
        <v>4.91</v>
      </c>
      <c r="H41" s="83">
        <f t="shared" si="0"/>
        <v>1.2995999999999992</v>
      </c>
      <c r="I41" s="84" t="s">
        <v>62</v>
      </c>
      <c r="J41" s="84" t="s">
        <v>187</v>
      </c>
      <c r="K41" s="84">
        <v>4.0599999999999996</v>
      </c>
      <c r="L41" s="83">
        <v>4.91</v>
      </c>
      <c r="M41" s="83">
        <f t="shared" si="1"/>
        <v>0.72250000000000092</v>
      </c>
      <c r="N41" s="84" t="s">
        <v>62</v>
      </c>
      <c r="O41" s="84" t="s">
        <v>188</v>
      </c>
      <c r="P41" s="84">
        <v>7.81</v>
      </c>
      <c r="Q41" s="83">
        <v>4.91</v>
      </c>
      <c r="R41" s="83">
        <f t="shared" si="2"/>
        <v>8.4099999999999966</v>
      </c>
    </row>
    <row r="42" spans="4:18" ht="16.2" thickBot="1" x14ac:dyDescent="0.35">
      <c r="D42" s="82" t="s">
        <v>62</v>
      </c>
      <c r="E42" s="83" t="s">
        <v>189</v>
      </c>
      <c r="F42" s="83">
        <v>0</v>
      </c>
      <c r="G42" s="83">
        <v>4.91</v>
      </c>
      <c r="H42" s="83">
        <f t="shared" si="0"/>
        <v>24.1081</v>
      </c>
      <c r="I42" s="84" t="s">
        <v>62</v>
      </c>
      <c r="J42" s="84" t="s">
        <v>190</v>
      </c>
      <c r="K42" s="84">
        <v>6.74</v>
      </c>
      <c r="L42" s="83">
        <v>4.91</v>
      </c>
      <c r="M42" s="83">
        <f t="shared" si="1"/>
        <v>3.3489000000000004</v>
      </c>
      <c r="N42" s="84" t="s">
        <v>62</v>
      </c>
      <c r="O42" s="84" t="s">
        <v>191</v>
      </c>
      <c r="P42" s="84">
        <v>10</v>
      </c>
      <c r="Q42" s="83">
        <v>4.91</v>
      </c>
      <c r="R42" s="83">
        <f t="shared" si="2"/>
        <v>25.908099999999997</v>
      </c>
    </row>
    <row r="43" spans="4:18" ht="16.2" thickBot="1" x14ac:dyDescent="0.35">
      <c r="D43" s="82" t="s">
        <v>62</v>
      </c>
      <c r="E43" s="83" t="s">
        <v>192</v>
      </c>
      <c r="F43" s="83">
        <v>0</v>
      </c>
      <c r="G43" s="83">
        <v>4.91</v>
      </c>
      <c r="H43" s="83">
        <f t="shared" si="0"/>
        <v>24.1081</v>
      </c>
      <c r="I43" s="84" t="s">
        <v>62</v>
      </c>
      <c r="J43" s="84" t="s">
        <v>193</v>
      </c>
      <c r="K43" s="84">
        <v>10</v>
      </c>
      <c r="L43" s="83">
        <v>4.91</v>
      </c>
      <c r="M43" s="83">
        <f t="shared" si="1"/>
        <v>25.908099999999997</v>
      </c>
      <c r="N43" s="84" t="s">
        <v>62</v>
      </c>
      <c r="O43" s="84" t="s">
        <v>194</v>
      </c>
      <c r="P43" s="84">
        <v>0.47</v>
      </c>
      <c r="Q43" s="83">
        <v>4.91</v>
      </c>
      <c r="R43" s="83">
        <f t="shared" si="2"/>
        <v>19.713600000000003</v>
      </c>
    </row>
    <row r="44" spans="4:18" ht="16.2" thickBot="1" x14ac:dyDescent="0.35">
      <c r="D44" s="82" t="s">
        <v>62</v>
      </c>
      <c r="E44" s="83" t="s">
        <v>195</v>
      </c>
      <c r="F44" s="83">
        <v>6</v>
      </c>
      <c r="G44" s="83">
        <v>4.91</v>
      </c>
      <c r="H44" s="83">
        <f t="shared" si="0"/>
        <v>1.1880999999999997</v>
      </c>
      <c r="I44" s="84" t="s">
        <v>62</v>
      </c>
      <c r="J44" s="84" t="s">
        <v>196</v>
      </c>
      <c r="K44" s="84">
        <v>2.67</v>
      </c>
      <c r="L44" s="83">
        <v>4.91</v>
      </c>
      <c r="M44" s="83">
        <f t="shared" si="1"/>
        <v>5.0176000000000007</v>
      </c>
      <c r="N44" s="84" t="s">
        <v>62</v>
      </c>
      <c r="O44" s="84" t="s">
        <v>197</v>
      </c>
      <c r="P44" s="84">
        <v>2.4500000000000002</v>
      </c>
      <c r="Q44" s="83">
        <v>4.91</v>
      </c>
      <c r="R44" s="83">
        <f t="shared" si="2"/>
        <v>6.0515999999999996</v>
      </c>
    </row>
    <row r="45" spans="4:18" ht="16.2" thickBot="1" x14ac:dyDescent="0.35">
      <c r="D45" s="82" t="s">
        <v>62</v>
      </c>
      <c r="E45" s="83" t="s">
        <v>198</v>
      </c>
      <c r="F45" s="83">
        <v>8.51</v>
      </c>
      <c r="G45" s="83">
        <v>4.91</v>
      </c>
      <c r="H45" s="83">
        <f t="shared" si="0"/>
        <v>12.959999999999997</v>
      </c>
      <c r="I45" s="84" t="s">
        <v>62</v>
      </c>
      <c r="J45" s="84" t="s">
        <v>199</v>
      </c>
      <c r="K45" s="84">
        <v>1.32</v>
      </c>
      <c r="L45" s="83">
        <v>4.91</v>
      </c>
      <c r="M45" s="83">
        <f t="shared" si="1"/>
        <v>12.8881</v>
      </c>
      <c r="N45" s="84" t="s">
        <v>62</v>
      </c>
      <c r="O45" s="84" t="s">
        <v>200</v>
      </c>
      <c r="P45" s="84">
        <v>5.54</v>
      </c>
      <c r="Q45" s="83">
        <v>4.91</v>
      </c>
      <c r="R45" s="83">
        <f t="shared" si="2"/>
        <v>0.39689999999999986</v>
      </c>
    </row>
    <row r="46" spans="4:18" ht="16.2" thickBot="1" x14ac:dyDescent="0.35">
      <c r="D46" s="82" t="s">
        <v>62</v>
      </c>
      <c r="E46" s="83" t="s">
        <v>201</v>
      </c>
      <c r="F46" s="83">
        <v>5.88</v>
      </c>
      <c r="G46" s="83">
        <v>4.91</v>
      </c>
      <c r="H46" s="83">
        <f t="shared" si="0"/>
        <v>0.94089999999999951</v>
      </c>
      <c r="I46" s="84" t="s">
        <v>62</v>
      </c>
      <c r="J46" s="84" t="s">
        <v>202</v>
      </c>
      <c r="K46" s="84">
        <v>2.75</v>
      </c>
      <c r="L46" s="83">
        <v>4.91</v>
      </c>
      <c r="M46" s="83">
        <f t="shared" si="1"/>
        <v>4.6656000000000004</v>
      </c>
      <c r="N46" s="84" t="s">
        <v>62</v>
      </c>
      <c r="O46" s="84" t="s">
        <v>203</v>
      </c>
      <c r="P46" s="84">
        <v>2.74</v>
      </c>
      <c r="Q46" s="83">
        <v>4.91</v>
      </c>
      <c r="R46" s="83">
        <f t="shared" si="2"/>
        <v>4.7088999999999999</v>
      </c>
    </row>
    <row r="47" spans="4:18" ht="16.2" thickBot="1" x14ac:dyDescent="0.35">
      <c r="D47" s="82" t="s">
        <v>62</v>
      </c>
      <c r="E47" s="83" t="s">
        <v>204</v>
      </c>
      <c r="F47" s="83">
        <v>4.54</v>
      </c>
      <c r="G47" s="83">
        <v>4.91</v>
      </c>
      <c r="H47" s="83">
        <f t="shared" si="0"/>
        <v>0.13690000000000008</v>
      </c>
      <c r="I47" s="84" t="s">
        <v>62</v>
      </c>
      <c r="J47" s="84" t="s">
        <v>205</v>
      </c>
      <c r="K47" s="84">
        <v>9.34</v>
      </c>
      <c r="L47" s="83">
        <v>4.91</v>
      </c>
      <c r="M47" s="83">
        <f t="shared" si="1"/>
        <v>19.624899999999997</v>
      </c>
      <c r="N47" s="84" t="s">
        <v>62</v>
      </c>
      <c r="O47" s="84" t="s">
        <v>206</v>
      </c>
      <c r="P47" s="84">
        <v>0</v>
      </c>
      <c r="Q47" s="83">
        <v>4.91</v>
      </c>
      <c r="R47" s="83">
        <f t="shared" si="2"/>
        <v>24.1081</v>
      </c>
    </row>
    <row r="48" spans="4:18" ht="16.2" thickBot="1" x14ac:dyDescent="0.35">
      <c r="D48" s="82" t="s">
        <v>62</v>
      </c>
      <c r="E48" s="83" t="s">
        <v>207</v>
      </c>
      <c r="F48" s="83">
        <v>3.68</v>
      </c>
      <c r="G48" s="83">
        <v>4.91</v>
      </c>
      <c r="H48" s="83">
        <f t="shared" si="0"/>
        <v>1.5128999999999999</v>
      </c>
      <c r="I48" s="84" t="s">
        <v>62</v>
      </c>
      <c r="J48" s="84" t="s">
        <v>208</v>
      </c>
      <c r="K48" s="84">
        <v>6.61</v>
      </c>
      <c r="L48" s="83">
        <v>4.91</v>
      </c>
      <c r="M48" s="83">
        <f t="shared" si="1"/>
        <v>2.8900000000000006</v>
      </c>
      <c r="N48" s="84" t="s">
        <v>62</v>
      </c>
      <c r="O48" s="84" t="s">
        <v>209</v>
      </c>
      <c r="P48" s="84">
        <v>5.4</v>
      </c>
      <c r="Q48" s="83">
        <v>4.91</v>
      </c>
      <c r="R48" s="83">
        <f t="shared" si="2"/>
        <v>0.2401000000000002</v>
      </c>
    </row>
    <row r="49" spans="4:18" ht="16.2" thickBot="1" x14ac:dyDescent="0.35">
      <c r="D49" s="82"/>
      <c r="E49" s="83"/>
      <c r="F49" s="83">
        <f>SUM(F5:F48)</f>
        <v>190.77</v>
      </c>
      <c r="G49" s="83"/>
      <c r="H49" s="83">
        <f t="shared" ref="H49:R49" si="3">SUM(H5:H48)</f>
        <v>477.63989999999978</v>
      </c>
      <c r="I49" s="83">
        <f t="shared" si="3"/>
        <v>0</v>
      </c>
      <c r="J49" s="83">
        <f t="shared" si="3"/>
        <v>0</v>
      </c>
      <c r="K49" s="83">
        <f t="shared" si="3"/>
        <v>229.42999999999998</v>
      </c>
      <c r="L49" s="83"/>
      <c r="M49" s="83">
        <f t="shared" si="3"/>
        <v>526.06650000000002</v>
      </c>
      <c r="N49" s="83">
        <f t="shared" si="3"/>
        <v>0</v>
      </c>
      <c r="O49" s="83">
        <f t="shared" si="3"/>
        <v>0</v>
      </c>
      <c r="P49" s="83">
        <f t="shared" si="3"/>
        <v>210.33999999999997</v>
      </c>
      <c r="Q49" s="83"/>
      <c r="R49" s="83">
        <f t="shared" si="3"/>
        <v>440.24979999999988</v>
      </c>
    </row>
    <row r="50" spans="4:18" ht="31.8" thickBot="1" x14ac:dyDescent="0.35">
      <c r="D50" s="85" t="s">
        <v>20</v>
      </c>
      <c r="E50" s="86" t="s">
        <v>76</v>
      </c>
      <c r="F50" s="86" t="s">
        <v>77</v>
      </c>
      <c r="G50" s="83"/>
      <c r="H50" s="83"/>
      <c r="I50" s="87" t="s">
        <v>20</v>
      </c>
      <c r="N50" s="87" t="s">
        <v>20</v>
      </c>
      <c r="O50" s="87" t="s">
        <v>76</v>
      </c>
      <c r="P50" s="87" t="s">
        <v>77</v>
      </c>
      <c r="Q50" s="88"/>
      <c r="R50" s="88"/>
    </row>
    <row r="51" spans="4:18" ht="16.2" thickBot="1" x14ac:dyDescent="0.35">
      <c r="D51" s="82" t="s">
        <v>62</v>
      </c>
      <c r="E51" s="83" t="s">
        <v>210</v>
      </c>
      <c r="F51" s="83">
        <v>0.14000000000000001</v>
      </c>
      <c r="G51" s="83">
        <v>4.91</v>
      </c>
      <c r="H51" s="83">
        <f t="shared" si="0"/>
        <v>22.752900000000004</v>
      </c>
      <c r="I51" s="84" t="s">
        <v>62</v>
      </c>
      <c r="N51" s="84" t="s">
        <v>71</v>
      </c>
      <c r="O51" s="84" t="s">
        <v>212</v>
      </c>
      <c r="P51" s="84">
        <v>8.99</v>
      </c>
      <c r="Q51" s="89"/>
      <c r="R51" s="89"/>
    </row>
    <row r="52" spans="4:18" ht="16.2" thickBot="1" x14ac:dyDescent="0.35">
      <c r="D52" s="82" t="s">
        <v>62</v>
      </c>
      <c r="E52" s="83" t="s">
        <v>213</v>
      </c>
      <c r="F52" s="83">
        <v>7.28</v>
      </c>
      <c r="G52" s="83">
        <v>4.91</v>
      </c>
      <c r="H52" s="83">
        <f t="shared" si="0"/>
        <v>5.6169000000000002</v>
      </c>
      <c r="I52" s="84" t="s">
        <v>62</v>
      </c>
      <c r="N52" s="84" t="s">
        <v>71</v>
      </c>
      <c r="O52" s="84" t="s">
        <v>215</v>
      </c>
      <c r="P52" s="84">
        <v>4.3499999999999996</v>
      </c>
      <c r="Q52" s="89"/>
      <c r="R52" s="89"/>
    </row>
    <row r="53" spans="4:18" ht="16.2" thickBot="1" x14ac:dyDescent="0.35">
      <c r="D53" s="82" t="s">
        <v>62</v>
      </c>
      <c r="E53" s="83" t="s">
        <v>216</v>
      </c>
      <c r="F53" s="83">
        <v>0.8</v>
      </c>
      <c r="G53" s="83">
        <v>4.91</v>
      </c>
      <c r="H53" s="83">
        <f t="shared" si="0"/>
        <v>16.892100000000003</v>
      </c>
      <c r="I53" s="84" t="s">
        <v>62</v>
      </c>
      <c r="N53" s="84" t="s">
        <v>71</v>
      </c>
      <c r="O53" s="84" t="s">
        <v>218</v>
      </c>
      <c r="P53" s="84">
        <v>5.83</v>
      </c>
      <c r="Q53" s="89"/>
      <c r="R53" s="89"/>
    </row>
    <row r="54" spans="4:18" ht="16.2" thickBot="1" x14ac:dyDescent="0.35">
      <c r="D54" s="82" t="s">
        <v>62</v>
      </c>
      <c r="E54" s="83" t="s">
        <v>219</v>
      </c>
      <c r="F54" s="83">
        <v>10</v>
      </c>
      <c r="G54" s="83">
        <v>4.91</v>
      </c>
      <c r="H54" s="83">
        <f t="shared" si="0"/>
        <v>25.908099999999997</v>
      </c>
      <c r="I54" s="84" t="s">
        <v>62</v>
      </c>
      <c r="N54" s="84" t="s">
        <v>71</v>
      </c>
      <c r="O54" s="84" t="s">
        <v>221</v>
      </c>
      <c r="P54" s="84">
        <v>10</v>
      </c>
      <c r="Q54" s="89"/>
      <c r="R54" s="89"/>
    </row>
    <row r="55" spans="4:18" ht="16.2" thickBot="1" x14ac:dyDescent="0.35">
      <c r="D55" s="82" t="s">
        <v>62</v>
      </c>
      <c r="E55" s="83" t="s">
        <v>222</v>
      </c>
      <c r="F55" s="83">
        <v>1.44</v>
      </c>
      <c r="G55" s="83">
        <v>4.91</v>
      </c>
      <c r="H55" s="83">
        <f t="shared" si="0"/>
        <v>12.040900000000001</v>
      </c>
      <c r="I55" s="84" t="s">
        <v>62</v>
      </c>
      <c r="N55" s="84" t="s">
        <v>71</v>
      </c>
      <c r="O55" s="84" t="s">
        <v>224</v>
      </c>
      <c r="P55" s="84">
        <v>5.76</v>
      </c>
      <c r="Q55" s="89"/>
      <c r="R55" s="89"/>
    </row>
    <row r="56" spans="4:18" ht="16.2" thickBot="1" x14ac:dyDescent="0.35">
      <c r="D56" s="82" t="s">
        <v>62</v>
      </c>
      <c r="E56" s="83" t="s">
        <v>225</v>
      </c>
      <c r="F56" s="83">
        <v>3.58</v>
      </c>
      <c r="G56" s="83">
        <v>4.91</v>
      </c>
      <c r="H56" s="83">
        <f t="shared" si="0"/>
        <v>1.7689000000000001</v>
      </c>
      <c r="I56" s="84" t="s">
        <v>62</v>
      </c>
      <c r="N56" s="84" t="s">
        <v>71</v>
      </c>
      <c r="O56" s="84" t="s">
        <v>227</v>
      </c>
      <c r="P56" s="84">
        <v>9.61</v>
      </c>
      <c r="Q56" s="89"/>
      <c r="R56" s="89"/>
    </row>
    <row r="57" spans="4:18" ht="16.2" thickBot="1" x14ac:dyDescent="0.35">
      <c r="D57" s="82" t="s">
        <v>62</v>
      </c>
      <c r="E57" s="83" t="s">
        <v>228</v>
      </c>
      <c r="F57" s="83">
        <v>8.86</v>
      </c>
      <c r="G57" s="83">
        <v>4.91</v>
      </c>
      <c r="H57" s="83">
        <f t="shared" si="0"/>
        <v>15.602499999999994</v>
      </c>
      <c r="I57" s="84" t="s">
        <v>71</v>
      </c>
      <c r="J57" s="84" t="s">
        <v>229</v>
      </c>
      <c r="K57" s="84">
        <v>10</v>
      </c>
      <c r="L57" s="84"/>
      <c r="M57" s="84"/>
      <c r="N57" s="84" t="s">
        <v>71</v>
      </c>
      <c r="O57" s="84" t="s">
        <v>230</v>
      </c>
      <c r="P57" s="84">
        <v>8.92</v>
      </c>
      <c r="Q57" s="89"/>
      <c r="R57" s="89"/>
    </row>
    <row r="58" spans="4:18" ht="16.2" thickBot="1" x14ac:dyDescent="0.35">
      <c r="D58" s="82" t="s">
        <v>62</v>
      </c>
      <c r="E58" s="83" t="s">
        <v>231</v>
      </c>
      <c r="F58" s="83">
        <v>0</v>
      </c>
      <c r="G58" s="83">
        <v>4.91</v>
      </c>
      <c r="H58" s="83">
        <f t="shared" si="0"/>
        <v>24.1081</v>
      </c>
      <c r="I58" s="84" t="s">
        <v>71</v>
      </c>
      <c r="J58" s="84" t="s">
        <v>232</v>
      </c>
      <c r="K58" s="84">
        <v>10</v>
      </c>
      <c r="L58" s="84"/>
      <c r="M58" s="84"/>
      <c r="N58" s="84" t="s">
        <v>71</v>
      </c>
      <c r="O58" s="84" t="s">
        <v>233</v>
      </c>
      <c r="P58" s="84">
        <v>6.08</v>
      </c>
      <c r="Q58" s="89"/>
      <c r="R58" s="89"/>
    </row>
    <row r="59" spans="4:18" ht="16.2" thickBot="1" x14ac:dyDescent="0.35">
      <c r="D59" s="82" t="s">
        <v>62</v>
      </c>
      <c r="E59" s="83" t="s">
        <v>234</v>
      </c>
      <c r="F59" s="83">
        <v>6.14</v>
      </c>
      <c r="G59" s="83">
        <v>4.91</v>
      </c>
      <c r="H59" s="83">
        <f t="shared" si="0"/>
        <v>1.5128999999999988</v>
      </c>
      <c r="I59" s="84" t="s">
        <v>71</v>
      </c>
      <c r="J59" s="84" t="s">
        <v>235</v>
      </c>
      <c r="K59" s="84">
        <v>8.43</v>
      </c>
      <c r="L59" s="84"/>
      <c r="M59" s="84"/>
      <c r="N59" s="84" t="s">
        <v>71</v>
      </c>
      <c r="O59" s="84" t="s">
        <v>236</v>
      </c>
      <c r="P59" s="84">
        <v>10</v>
      </c>
      <c r="Q59" s="89"/>
      <c r="R59" s="89"/>
    </row>
    <row r="60" spans="4:18" ht="16.2" thickBot="1" x14ac:dyDescent="0.35">
      <c r="D60" s="82" t="s">
        <v>62</v>
      </c>
      <c r="E60" s="83" t="s">
        <v>237</v>
      </c>
      <c r="F60" s="83">
        <v>10</v>
      </c>
      <c r="G60" s="83">
        <v>4.91</v>
      </c>
      <c r="H60" s="83">
        <f t="shared" si="0"/>
        <v>25.908099999999997</v>
      </c>
      <c r="I60" s="84" t="s">
        <v>71</v>
      </c>
      <c r="J60" s="84" t="s">
        <v>238</v>
      </c>
      <c r="K60" s="84">
        <v>5.29</v>
      </c>
      <c r="L60" s="84"/>
      <c r="M60" s="84"/>
      <c r="N60" s="84" t="s">
        <v>71</v>
      </c>
      <c r="O60" s="84" t="s">
        <v>212</v>
      </c>
      <c r="P60" s="84">
        <v>8.99</v>
      </c>
      <c r="Q60" s="89"/>
      <c r="R60" s="89"/>
    </row>
    <row r="61" spans="4:18" ht="16.2" thickBot="1" x14ac:dyDescent="0.35">
      <c r="D61" s="82" t="s">
        <v>62</v>
      </c>
      <c r="E61" s="83" t="s">
        <v>239</v>
      </c>
      <c r="F61" s="83">
        <v>0</v>
      </c>
      <c r="G61" s="83">
        <v>4.91</v>
      </c>
      <c r="H61" s="83">
        <f t="shared" si="0"/>
        <v>24.1081</v>
      </c>
      <c r="I61" s="84" t="s">
        <v>71</v>
      </c>
      <c r="J61" s="84" t="s">
        <v>240</v>
      </c>
      <c r="K61" s="84">
        <v>2.58</v>
      </c>
      <c r="L61" s="84"/>
      <c r="M61" s="84"/>
      <c r="N61" s="84" t="s">
        <v>71</v>
      </c>
      <c r="O61" s="84" t="s">
        <v>241</v>
      </c>
      <c r="P61" s="84">
        <v>10</v>
      </c>
      <c r="Q61" s="89"/>
      <c r="R61" s="89"/>
    </row>
    <row r="62" spans="4:18" ht="16.2" thickBot="1" x14ac:dyDescent="0.35">
      <c r="D62" s="82" t="s">
        <v>62</v>
      </c>
      <c r="E62" s="83" t="s">
        <v>242</v>
      </c>
      <c r="F62" s="83">
        <v>5.94</v>
      </c>
      <c r="G62" s="83">
        <v>4.91</v>
      </c>
      <c r="H62" s="83">
        <f t="shared" si="0"/>
        <v>1.0609000000000006</v>
      </c>
      <c r="I62" s="84" t="s">
        <v>71</v>
      </c>
      <c r="J62" s="84" t="s">
        <v>243</v>
      </c>
      <c r="K62" s="84">
        <v>6.92</v>
      </c>
      <c r="L62" s="84"/>
      <c r="M62" s="84"/>
      <c r="N62" s="84" t="s">
        <v>71</v>
      </c>
      <c r="O62" s="84" t="s">
        <v>244</v>
      </c>
      <c r="P62" s="84">
        <v>0.51</v>
      </c>
      <c r="Q62" s="89"/>
      <c r="R62" s="89"/>
    </row>
    <row r="63" spans="4:18" ht="16.2" thickBot="1" x14ac:dyDescent="0.35">
      <c r="D63" s="82" t="s">
        <v>62</v>
      </c>
      <c r="E63" s="83" t="s">
        <v>245</v>
      </c>
      <c r="F63" s="83">
        <v>6.29</v>
      </c>
      <c r="G63" s="83">
        <v>4.91</v>
      </c>
      <c r="H63" s="83">
        <f t="shared" si="0"/>
        <v>1.9043999999999996</v>
      </c>
      <c r="I63" s="84" t="s">
        <v>71</v>
      </c>
      <c r="J63" s="84" t="s">
        <v>246</v>
      </c>
      <c r="K63" s="84">
        <v>10</v>
      </c>
      <c r="L63" s="84"/>
      <c r="M63" s="84"/>
      <c r="N63" s="84" t="s">
        <v>71</v>
      </c>
      <c r="O63" s="84" t="s">
        <v>247</v>
      </c>
      <c r="P63" s="84">
        <v>9.49</v>
      </c>
      <c r="Q63" s="89"/>
      <c r="R63" s="89"/>
    </row>
    <row r="64" spans="4:18" ht="16.2" thickBot="1" x14ac:dyDescent="0.35">
      <c r="D64" s="82" t="s">
        <v>62</v>
      </c>
      <c r="E64" s="83" t="s">
        <v>248</v>
      </c>
      <c r="F64" s="83">
        <v>8.7200000000000006</v>
      </c>
      <c r="G64" s="83">
        <v>4.91</v>
      </c>
      <c r="H64" s="83">
        <f t="shared" si="0"/>
        <v>14.516100000000003</v>
      </c>
      <c r="I64" s="84" t="s">
        <v>71</v>
      </c>
      <c r="J64" s="84" t="s">
        <v>249</v>
      </c>
      <c r="K64" s="84">
        <v>9.6</v>
      </c>
      <c r="L64" s="84"/>
      <c r="M64" s="84"/>
      <c r="N64" s="84" t="s">
        <v>71</v>
      </c>
      <c r="O64" s="84" t="s">
        <v>250</v>
      </c>
      <c r="P64" s="84">
        <v>6.04</v>
      </c>
      <c r="Q64" s="89"/>
      <c r="R64" s="89"/>
    </row>
    <row r="65" spans="4:18" ht="16.2" thickBot="1" x14ac:dyDescent="0.35">
      <c r="D65" s="82" t="s">
        <v>62</v>
      </c>
      <c r="E65" s="83" t="s">
        <v>251</v>
      </c>
      <c r="F65" s="83">
        <v>0</v>
      </c>
      <c r="G65" s="83">
        <v>4.91</v>
      </c>
      <c r="H65" s="83">
        <f t="shared" si="0"/>
        <v>24.1081</v>
      </c>
      <c r="I65" s="84" t="s">
        <v>71</v>
      </c>
      <c r="J65" s="84" t="s">
        <v>252</v>
      </c>
      <c r="K65" s="84">
        <v>3.67</v>
      </c>
      <c r="L65" s="84"/>
      <c r="M65" s="84"/>
      <c r="N65" s="84" t="s">
        <v>71</v>
      </c>
      <c r="O65" s="84" t="s">
        <v>253</v>
      </c>
      <c r="P65" s="84">
        <v>10</v>
      </c>
      <c r="Q65" s="89"/>
      <c r="R65" s="89"/>
    </row>
    <row r="66" spans="4:18" ht="16.2" thickBot="1" x14ac:dyDescent="0.35">
      <c r="D66" s="82" t="s">
        <v>62</v>
      </c>
      <c r="E66" s="83" t="s">
        <v>254</v>
      </c>
      <c r="F66" s="83">
        <v>0</v>
      </c>
      <c r="G66" s="83">
        <v>4.91</v>
      </c>
      <c r="H66" s="83">
        <f t="shared" si="0"/>
        <v>24.1081</v>
      </c>
      <c r="I66" s="84" t="s">
        <v>71</v>
      </c>
      <c r="J66" s="84" t="s">
        <v>255</v>
      </c>
      <c r="K66" s="84">
        <v>9.43</v>
      </c>
      <c r="L66" s="84"/>
      <c r="M66" s="84"/>
      <c r="N66" s="84" t="s">
        <v>71</v>
      </c>
      <c r="O66" s="84" t="s">
        <v>256</v>
      </c>
      <c r="P66" s="84">
        <v>5.51</v>
      </c>
      <c r="Q66" s="89"/>
      <c r="R66" s="89"/>
    </row>
    <row r="67" spans="4:18" ht="16.2" thickBot="1" x14ac:dyDescent="0.35">
      <c r="D67" s="82" t="s">
        <v>62</v>
      </c>
      <c r="E67" s="83" t="s">
        <v>257</v>
      </c>
      <c r="F67" s="83">
        <v>7.51</v>
      </c>
      <c r="G67" s="83">
        <v>4.91</v>
      </c>
      <c r="H67" s="83">
        <f t="shared" si="0"/>
        <v>6.759999999999998</v>
      </c>
      <c r="I67" s="84" t="s">
        <v>71</v>
      </c>
      <c r="J67" s="84" t="s">
        <v>258</v>
      </c>
      <c r="K67" s="84">
        <v>10</v>
      </c>
      <c r="L67" s="84"/>
      <c r="M67" s="84"/>
      <c r="N67" s="84" t="s">
        <v>71</v>
      </c>
      <c r="O67" s="84" t="s">
        <v>259</v>
      </c>
      <c r="P67" s="84">
        <v>8.26</v>
      </c>
      <c r="Q67" s="89"/>
      <c r="R67" s="89"/>
    </row>
    <row r="68" spans="4:18" ht="16.2" thickBot="1" x14ac:dyDescent="0.35">
      <c r="D68" s="82" t="s">
        <v>62</v>
      </c>
      <c r="E68" s="83" t="s">
        <v>260</v>
      </c>
      <c r="F68" s="83">
        <v>6.46</v>
      </c>
      <c r="G68" s="83">
        <v>4.91</v>
      </c>
      <c r="H68" s="83">
        <f t="shared" si="0"/>
        <v>2.4024999999999994</v>
      </c>
      <c r="I68" s="84" t="s">
        <v>71</v>
      </c>
      <c r="J68" s="84" t="s">
        <v>261</v>
      </c>
      <c r="K68" s="84">
        <v>5.14</v>
      </c>
      <c r="L68" s="84"/>
      <c r="M68" s="84"/>
      <c r="N68" s="84" t="s">
        <v>71</v>
      </c>
      <c r="O68" s="84" t="s">
        <v>262</v>
      </c>
      <c r="P68" s="84">
        <v>10</v>
      </c>
      <c r="Q68" s="89"/>
      <c r="R68" s="89"/>
    </row>
    <row r="69" spans="4:18" ht="16.2" thickBot="1" x14ac:dyDescent="0.35">
      <c r="D69" s="82" t="s">
        <v>62</v>
      </c>
      <c r="E69" s="83" t="s">
        <v>263</v>
      </c>
      <c r="F69" s="83">
        <v>6.24</v>
      </c>
      <c r="G69" s="83">
        <v>4.91</v>
      </c>
      <c r="H69" s="83">
        <f t="shared" si="0"/>
        <v>1.7689000000000001</v>
      </c>
      <c r="I69" s="84" t="s">
        <v>71</v>
      </c>
      <c r="J69" s="84" t="s">
        <v>264</v>
      </c>
      <c r="K69" s="84">
        <v>9.35</v>
      </c>
      <c r="L69" s="84"/>
      <c r="M69" s="84"/>
      <c r="N69" s="84" t="s">
        <v>71</v>
      </c>
      <c r="O69" s="84" t="s">
        <v>265</v>
      </c>
      <c r="P69" s="84">
        <v>10</v>
      </c>
      <c r="Q69" s="89"/>
      <c r="R69" s="89"/>
    </row>
    <row r="70" spans="4:18" ht="16.2" thickBot="1" x14ac:dyDescent="0.35">
      <c r="D70" s="82" t="s">
        <v>62</v>
      </c>
      <c r="E70" s="83" t="s">
        <v>266</v>
      </c>
      <c r="F70" s="83">
        <v>6.69</v>
      </c>
      <c r="G70" s="83">
        <v>4.91</v>
      </c>
      <c r="H70" s="83">
        <f t="shared" ref="H70:H97" si="4">POWER(F70-G70,2)</f>
        <v>3.168400000000001</v>
      </c>
      <c r="I70" s="84" t="s">
        <v>71</v>
      </c>
      <c r="J70" s="84" t="s">
        <v>267</v>
      </c>
      <c r="K70" s="84">
        <v>8.9700000000000006</v>
      </c>
      <c r="L70" s="84"/>
      <c r="M70" s="84"/>
      <c r="N70" s="84" t="s">
        <v>71</v>
      </c>
      <c r="O70" s="84" t="s">
        <v>268</v>
      </c>
      <c r="P70" s="84">
        <v>3.86</v>
      </c>
      <c r="Q70" s="89"/>
      <c r="R70" s="89"/>
    </row>
    <row r="71" spans="4:18" ht="16.2" thickBot="1" x14ac:dyDescent="0.35">
      <c r="D71" s="82" t="s">
        <v>62</v>
      </c>
      <c r="E71" s="83" t="s">
        <v>269</v>
      </c>
      <c r="F71" s="83">
        <v>1.92</v>
      </c>
      <c r="G71" s="83">
        <v>4.91</v>
      </c>
      <c r="H71" s="83">
        <f t="shared" si="4"/>
        <v>8.940100000000001</v>
      </c>
      <c r="I71" s="84" t="s">
        <v>71</v>
      </c>
      <c r="J71" s="84" t="s">
        <v>270</v>
      </c>
      <c r="K71" s="84">
        <v>4.09</v>
      </c>
      <c r="L71" s="84"/>
      <c r="M71" s="84"/>
      <c r="N71" s="84" t="s">
        <v>71</v>
      </c>
      <c r="O71" s="84" t="s">
        <v>271</v>
      </c>
      <c r="P71" s="84">
        <v>7.37</v>
      </c>
      <c r="Q71" s="89"/>
      <c r="R71" s="89"/>
    </row>
    <row r="72" spans="4:18" ht="16.2" thickBot="1" x14ac:dyDescent="0.35">
      <c r="D72" s="82" t="s">
        <v>62</v>
      </c>
      <c r="E72" s="83" t="s">
        <v>272</v>
      </c>
      <c r="F72" s="83">
        <v>6.16</v>
      </c>
      <c r="G72" s="83">
        <v>4.91</v>
      </c>
      <c r="H72" s="83">
        <f t="shared" si="4"/>
        <v>1.5625</v>
      </c>
      <c r="I72" s="84" t="s">
        <v>71</v>
      </c>
      <c r="J72" s="84" t="s">
        <v>273</v>
      </c>
      <c r="K72" s="84">
        <v>10</v>
      </c>
      <c r="L72" s="84"/>
      <c r="M72" s="84"/>
      <c r="N72" s="84" t="s">
        <v>71</v>
      </c>
      <c r="O72" s="84" t="s">
        <v>274</v>
      </c>
      <c r="P72" s="84">
        <v>6.8</v>
      </c>
      <c r="Q72" s="89"/>
      <c r="R72" s="89"/>
    </row>
    <row r="73" spans="4:18" ht="16.2" thickBot="1" x14ac:dyDescent="0.35">
      <c r="D73" s="82" t="s">
        <v>62</v>
      </c>
      <c r="E73" s="83" t="s">
        <v>275</v>
      </c>
      <c r="F73" s="83">
        <v>6.44</v>
      </c>
      <c r="G73" s="83">
        <v>4.91</v>
      </c>
      <c r="H73" s="83">
        <f t="shared" si="4"/>
        <v>2.3409000000000009</v>
      </c>
      <c r="I73" s="84" t="s">
        <v>71</v>
      </c>
      <c r="J73" s="84" t="s">
        <v>276</v>
      </c>
      <c r="K73" s="84">
        <v>10</v>
      </c>
      <c r="L73" s="84"/>
      <c r="M73" s="84"/>
      <c r="N73" s="84" t="s">
        <v>71</v>
      </c>
      <c r="O73" s="84" t="s">
        <v>277</v>
      </c>
      <c r="P73" s="84">
        <v>6.08</v>
      </c>
      <c r="Q73" s="89"/>
      <c r="R73" s="89"/>
    </row>
    <row r="74" spans="4:18" ht="16.2" thickBot="1" x14ac:dyDescent="0.35">
      <c r="D74" s="82" t="s">
        <v>62</v>
      </c>
      <c r="E74" s="83" t="s">
        <v>278</v>
      </c>
      <c r="F74" s="83">
        <v>1.76</v>
      </c>
      <c r="G74" s="83">
        <v>4.91</v>
      </c>
      <c r="H74" s="83">
        <f t="shared" si="4"/>
        <v>9.922500000000003</v>
      </c>
      <c r="I74" s="84" t="s">
        <v>71</v>
      </c>
      <c r="J74" s="84" t="s">
        <v>279</v>
      </c>
      <c r="K74" s="84">
        <v>10</v>
      </c>
      <c r="L74" s="84"/>
      <c r="M74" s="84"/>
      <c r="N74" s="84" t="s">
        <v>71</v>
      </c>
      <c r="O74" s="84" t="s">
        <v>280</v>
      </c>
      <c r="P74" s="84">
        <v>10</v>
      </c>
      <c r="Q74" s="89"/>
      <c r="R74" s="89"/>
    </row>
    <row r="75" spans="4:18" ht="16.2" thickBot="1" x14ac:dyDescent="0.35">
      <c r="D75" s="82" t="s">
        <v>62</v>
      </c>
      <c r="E75" s="83" t="s">
        <v>281</v>
      </c>
      <c r="F75" s="83">
        <v>10</v>
      </c>
      <c r="G75" s="83">
        <v>4.91</v>
      </c>
      <c r="H75" s="83">
        <f t="shared" si="4"/>
        <v>25.908099999999997</v>
      </c>
      <c r="I75" s="84" t="s">
        <v>71</v>
      </c>
      <c r="J75" s="84" t="s">
        <v>282</v>
      </c>
      <c r="K75" s="84">
        <v>10</v>
      </c>
      <c r="L75" s="84"/>
      <c r="M75" s="84"/>
      <c r="N75" s="84" t="s">
        <v>71</v>
      </c>
      <c r="O75" s="84" t="s">
        <v>283</v>
      </c>
      <c r="P75" s="84">
        <v>10</v>
      </c>
      <c r="Q75" s="89"/>
      <c r="R75" s="89"/>
    </row>
    <row r="76" spans="4:18" ht="16.2" thickBot="1" x14ac:dyDescent="0.35">
      <c r="D76" s="82" t="s">
        <v>62</v>
      </c>
      <c r="E76" s="83" t="s">
        <v>284</v>
      </c>
      <c r="F76" s="83">
        <v>7.28</v>
      </c>
      <c r="G76" s="83">
        <v>4.91</v>
      </c>
      <c r="H76" s="83">
        <f t="shared" si="4"/>
        <v>5.6169000000000002</v>
      </c>
      <c r="I76" s="84" t="s">
        <v>71</v>
      </c>
      <c r="J76" s="84" t="s">
        <v>285</v>
      </c>
      <c r="K76" s="84">
        <v>3.14</v>
      </c>
      <c r="L76" s="84"/>
      <c r="M76" s="84"/>
      <c r="N76" s="84" t="s">
        <v>71</v>
      </c>
      <c r="O76" s="84" t="s">
        <v>286</v>
      </c>
      <c r="P76" s="84">
        <v>3.61</v>
      </c>
      <c r="Q76" s="89"/>
      <c r="R76" s="89"/>
    </row>
    <row r="77" spans="4:18" ht="16.2" thickBot="1" x14ac:dyDescent="0.35">
      <c r="D77" s="82" t="s">
        <v>62</v>
      </c>
      <c r="E77" s="83" t="s">
        <v>287</v>
      </c>
      <c r="F77" s="83">
        <v>0</v>
      </c>
      <c r="G77" s="83">
        <v>4.91</v>
      </c>
      <c r="H77" s="83">
        <f t="shared" si="4"/>
        <v>24.1081</v>
      </c>
      <c r="I77" s="84" t="s">
        <v>71</v>
      </c>
      <c r="J77" s="84" t="s">
        <v>288</v>
      </c>
      <c r="K77" s="84">
        <v>4.92</v>
      </c>
      <c r="L77" s="84"/>
      <c r="M77" s="84"/>
      <c r="N77" s="84" t="s">
        <v>71</v>
      </c>
      <c r="O77" s="84" t="s">
        <v>289</v>
      </c>
      <c r="P77" s="84">
        <v>10</v>
      </c>
      <c r="Q77" s="89"/>
      <c r="R77" s="89"/>
    </row>
    <row r="78" spans="4:18" ht="16.2" thickBot="1" x14ac:dyDescent="0.35">
      <c r="D78" s="82" t="s">
        <v>62</v>
      </c>
      <c r="E78" s="83" t="s">
        <v>290</v>
      </c>
      <c r="F78" s="83">
        <v>8.1300000000000008</v>
      </c>
      <c r="G78" s="83">
        <v>4.91</v>
      </c>
      <c r="H78" s="83">
        <f t="shared" si="4"/>
        <v>10.368400000000005</v>
      </c>
      <c r="I78" s="84" t="s">
        <v>71</v>
      </c>
      <c r="J78" s="84" t="s">
        <v>291</v>
      </c>
      <c r="K78" s="84">
        <v>10</v>
      </c>
      <c r="L78" s="84"/>
      <c r="M78" s="84"/>
      <c r="N78" s="84" t="s">
        <v>71</v>
      </c>
      <c r="O78" s="84" t="s">
        <v>292</v>
      </c>
      <c r="P78" s="84">
        <v>10</v>
      </c>
      <c r="Q78" s="89"/>
      <c r="R78" s="89"/>
    </row>
    <row r="79" spans="4:18" ht="16.2" thickBot="1" x14ac:dyDescent="0.35">
      <c r="D79" s="82" t="s">
        <v>62</v>
      </c>
      <c r="E79" s="83" t="s">
        <v>293</v>
      </c>
      <c r="F79" s="83">
        <v>0.55000000000000004</v>
      </c>
      <c r="G79" s="83">
        <v>4.91</v>
      </c>
      <c r="H79" s="83">
        <f t="shared" si="4"/>
        <v>19.009600000000002</v>
      </c>
      <c r="I79" s="84" t="s">
        <v>71</v>
      </c>
      <c r="J79" s="84" t="s">
        <v>294</v>
      </c>
      <c r="K79" s="84">
        <v>10</v>
      </c>
      <c r="L79" s="84"/>
      <c r="M79" s="84"/>
      <c r="N79" s="84" t="s">
        <v>71</v>
      </c>
      <c r="O79" s="84" t="s">
        <v>295</v>
      </c>
      <c r="P79" s="84">
        <v>10</v>
      </c>
      <c r="Q79" s="89"/>
      <c r="R79" s="89"/>
    </row>
    <row r="80" spans="4:18" ht="16.2" thickBot="1" x14ac:dyDescent="0.35">
      <c r="D80" s="82" t="s">
        <v>62</v>
      </c>
      <c r="E80" s="83" t="s">
        <v>296</v>
      </c>
      <c r="F80" s="83">
        <v>8.74</v>
      </c>
      <c r="G80" s="83">
        <v>4.91</v>
      </c>
      <c r="H80" s="83">
        <f t="shared" si="4"/>
        <v>14.668900000000001</v>
      </c>
      <c r="I80" s="84" t="s">
        <v>71</v>
      </c>
      <c r="J80" s="84" t="s">
        <v>297</v>
      </c>
      <c r="K80" s="84">
        <v>10</v>
      </c>
      <c r="L80" s="84"/>
      <c r="M80" s="84"/>
      <c r="N80" s="84" t="s">
        <v>71</v>
      </c>
      <c r="O80" s="84" t="s">
        <v>298</v>
      </c>
      <c r="P80" s="84">
        <v>2.56</v>
      </c>
      <c r="Q80" s="89"/>
      <c r="R80" s="89"/>
    </row>
    <row r="81" spans="4:21" ht="16.2" thickBot="1" x14ac:dyDescent="0.35">
      <c r="D81" s="82" t="s">
        <v>62</v>
      </c>
      <c r="E81" s="83" t="s">
        <v>299</v>
      </c>
      <c r="F81" s="83">
        <v>10</v>
      </c>
      <c r="G81" s="83">
        <v>4.91</v>
      </c>
      <c r="H81" s="83">
        <f t="shared" si="4"/>
        <v>25.908099999999997</v>
      </c>
      <c r="I81" s="84" t="s">
        <v>71</v>
      </c>
      <c r="J81" s="84" t="s">
        <v>300</v>
      </c>
      <c r="K81" s="84">
        <v>10</v>
      </c>
      <c r="L81" s="84"/>
      <c r="M81" s="84"/>
      <c r="N81" s="84" t="s">
        <v>71</v>
      </c>
      <c r="O81" s="84" t="s">
        <v>301</v>
      </c>
      <c r="P81" s="84">
        <v>6.76</v>
      </c>
      <c r="Q81" s="89"/>
      <c r="R81" s="89"/>
    </row>
    <row r="82" spans="4:21" ht="16.2" thickBot="1" x14ac:dyDescent="0.35">
      <c r="D82" s="82" t="s">
        <v>62</v>
      </c>
      <c r="E82" s="83" t="s">
        <v>302</v>
      </c>
      <c r="F82" s="83">
        <v>1.26</v>
      </c>
      <c r="G82" s="83">
        <v>4.91</v>
      </c>
      <c r="H82" s="83">
        <f t="shared" si="4"/>
        <v>13.322500000000003</v>
      </c>
      <c r="I82" s="84" t="s">
        <v>71</v>
      </c>
      <c r="J82" s="84" t="s">
        <v>303</v>
      </c>
      <c r="K82" s="84">
        <v>10</v>
      </c>
      <c r="L82" s="84"/>
      <c r="M82" s="84"/>
      <c r="N82" s="84" t="s">
        <v>71</v>
      </c>
      <c r="O82" s="84" t="s">
        <v>304</v>
      </c>
      <c r="P82" s="84">
        <v>10</v>
      </c>
      <c r="Q82" s="89"/>
      <c r="R82" s="89"/>
    </row>
    <row r="83" spans="4:21" ht="16.2" thickBot="1" x14ac:dyDescent="0.35">
      <c r="D83" s="82" t="s">
        <v>62</v>
      </c>
      <c r="E83" s="83" t="s">
        <v>305</v>
      </c>
      <c r="F83" s="83">
        <v>9.56</v>
      </c>
      <c r="G83" s="83">
        <v>4.91</v>
      </c>
      <c r="H83" s="83">
        <f t="shared" si="4"/>
        <v>21.622500000000002</v>
      </c>
      <c r="I83" s="84" t="s">
        <v>71</v>
      </c>
      <c r="J83" s="84" t="s">
        <v>306</v>
      </c>
      <c r="K83" s="84">
        <v>10</v>
      </c>
      <c r="L83" s="84"/>
      <c r="M83" s="84"/>
      <c r="N83" s="84" t="s">
        <v>71</v>
      </c>
      <c r="O83" s="84" t="s">
        <v>307</v>
      </c>
      <c r="P83" s="84">
        <v>5.86</v>
      </c>
      <c r="Q83" s="89"/>
      <c r="R83" s="89"/>
    </row>
    <row r="84" spans="4:21" ht="16.2" thickBot="1" x14ac:dyDescent="0.35">
      <c r="D84" s="82" t="s">
        <v>62</v>
      </c>
      <c r="E84" s="83" t="s">
        <v>308</v>
      </c>
      <c r="F84" s="83">
        <v>7</v>
      </c>
      <c r="G84" s="83">
        <v>4.91</v>
      </c>
      <c r="H84" s="83">
        <f t="shared" si="4"/>
        <v>4.3680999999999992</v>
      </c>
      <c r="I84" s="84" t="s">
        <v>71</v>
      </c>
      <c r="J84" s="84" t="s">
        <v>309</v>
      </c>
      <c r="K84" s="84">
        <v>10</v>
      </c>
      <c r="L84" s="84"/>
      <c r="M84" s="84"/>
      <c r="N84" s="84" t="s">
        <v>71</v>
      </c>
      <c r="O84" s="84" t="s">
        <v>310</v>
      </c>
      <c r="P84" s="84">
        <v>10</v>
      </c>
      <c r="Q84" s="89"/>
      <c r="R84" s="89"/>
    </row>
    <row r="85" spans="4:21" ht="16.2" thickBot="1" x14ac:dyDescent="0.35">
      <c r="D85" s="82" t="s">
        <v>62</v>
      </c>
      <c r="E85" s="83" t="s">
        <v>311</v>
      </c>
      <c r="F85" s="83">
        <v>8.9</v>
      </c>
      <c r="G85" s="83">
        <v>4.91</v>
      </c>
      <c r="H85" s="83">
        <f t="shared" si="4"/>
        <v>15.920100000000001</v>
      </c>
      <c r="I85" s="84" t="s">
        <v>71</v>
      </c>
      <c r="J85" s="84" t="s">
        <v>312</v>
      </c>
      <c r="K85" s="84">
        <v>10</v>
      </c>
      <c r="L85" s="84"/>
      <c r="M85" s="84"/>
      <c r="N85" s="84" t="s">
        <v>71</v>
      </c>
      <c r="O85" s="84" t="s">
        <v>313</v>
      </c>
      <c r="P85" s="84">
        <v>10</v>
      </c>
      <c r="Q85" s="89"/>
      <c r="R85" s="89"/>
    </row>
    <row r="86" spans="4:21" ht="16.2" thickBot="1" x14ac:dyDescent="0.35">
      <c r="D86" s="82" t="s">
        <v>62</v>
      </c>
      <c r="E86" s="83" t="s">
        <v>314</v>
      </c>
      <c r="F86" s="83">
        <v>10</v>
      </c>
      <c r="G86" s="83">
        <v>4.91</v>
      </c>
      <c r="H86" s="83">
        <f t="shared" si="4"/>
        <v>25.908099999999997</v>
      </c>
      <c r="I86" s="84" t="s">
        <v>71</v>
      </c>
      <c r="J86" s="84" t="s">
        <v>315</v>
      </c>
      <c r="K86" s="84">
        <v>7.45</v>
      </c>
      <c r="L86" s="84"/>
      <c r="M86" s="84"/>
      <c r="N86" s="84" t="s">
        <v>71</v>
      </c>
      <c r="O86" s="84" t="s">
        <v>316</v>
      </c>
      <c r="P86" s="84">
        <v>4.97</v>
      </c>
      <c r="Q86" s="89"/>
      <c r="R86" s="89"/>
    </row>
    <row r="87" spans="4:21" ht="16.2" thickBot="1" x14ac:dyDescent="0.35">
      <c r="D87" s="82" t="s">
        <v>62</v>
      </c>
      <c r="E87" s="83" t="s">
        <v>317</v>
      </c>
      <c r="F87" s="83">
        <v>3.94</v>
      </c>
      <c r="G87" s="83">
        <v>4.91</v>
      </c>
      <c r="H87" s="83">
        <f t="shared" si="4"/>
        <v>0.9409000000000004</v>
      </c>
      <c r="I87" s="84" t="s">
        <v>71</v>
      </c>
      <c r="J87" s="84" t="s">
        <v>318</v>
      </c>
      <c r="K87" s="84">
        <v>10</v>
      </c>
      <c r="L87" s="84"/>
      <c r="M87" s="84"/>
      <c r="N87" s="84" t="s">
        <v>71</v>
      </c>
      <c r="O87" s="84" t="s">
        <v>319</v>
      </c>
      <c r="P87" s="84">
        <v>8.49</v>
      </c>
      <c r="Q87" s="89"/>
      <c r="R87" s="89"/>
    </row>
    <row r="88" spans="4:21" ht="16.2" thickBot="1" x14ac:dyDescent="0.35">
      <c r="D88" s="82" t="s">
        <v>62</v>
      </c>
      <c r="E88" s="83" t="s">
        <v>320</v>
      </c>
      <c r="F88" s="83">
        <v>1.58</v>
      </c>
      <c r="G88" s="83">
        <v>4.91</v>
      </c>
      <c r="H88" s="83">
        <f t="shared" si="4"/>
        <v>11.088900000000001</v>
      </c>
      <c r="I88" s="84" t="s">
        <v>71</v>
      </c>
      <c r="J88" s="84" t="s">
        <v>321</v>
      </c>
      <c r="K88" s="84">
        <v>5.59</v>
      </c>
      <c r="L88" s="84"/>
      <c r="M88" s="84"/>
      <c r="N88" s="84" t="s">
        <v>71</v>
      </c>
      <c r="O88" s="84" t="s">
        <v>322</v>
      </c>
      <c r="P88" s="84">
        <v>0</v>
      </c>
      <c r="Q88" s="89"/>
      <c r="R88" s="89"/>
    </row>
    <row r="89" spans="4:21" ht="16.2" thickBot="1" x14ac:dyDescent="0.35">
      <c r="D89" s="82" t="s">
        <v>62</v>
      </c>
      <c r="E89" s="83" t="s">
        <v>323</v>
      </c>
      <c r="F89" s="83">
        <v>0.94</v>
      </c>
      <c r="G89" s="83">
        <v>4.91</v>
      </c>
      <c r="H89" s="83">
        <f t="shared" si="4"/>
        <v>15.760900000000001</v>
      </c>
      <c r="I89" s="84" t="s">
        <v>71</v>
      </c>
      <c r="J89" s="84" t="s">
        <v>324</v>
      </c>
      <c r="K89" s="84">
        <v>7.77</v>
      </c>
      <c r="L89" s="84"/>
      <c r="M89" s="84"/>
      <c r="N89" s="84" t="s">
        <v>71</v>
      </c>
      <c r="O89" s="84" t="s">
        <v>325</v>
      </c>
      <c r="P89" s="84">
        <v>4.57</v>
      </c>
      <c r="Q89" s="89"/>
      <c r="R89" s="89"/>
    </row>
    <row r="90" spans="4:21" ht="16.2" thickBot="1" x14ac:dyDescent="0.35">
      <c r="D90" s="82" t="s">
        <v>62</v>
      </c>
      <c r="E90" s="83" t="s">
        <v>326</v>
      </c>
      <c r="F90" s="83">
        <v>1.29</v>
      </c>
      <c r="G90" s="83">
        <v>4.91</v>
      </c>
      <c r="H90" s="83">
        <f t="shared" si="4"/>
        <v>13.1044</v>
      </c>
      <c r="I90" s="84" t="s">
        <v>71</v>
      </c>
      <c r="J90" s="84" t="s">
        <v>327</v>
      </c>
      <c r="K90" s="84">
        <v>6.76</v>
      </c>
      <c r="L90" s="84"/>
      <c r="M90" s="84"/>
      <c r="N90" s="84" t="s">
        <v>71</v>
      </c>
      <c r="O90" s="84" t="s">
        <v>328</v>
      </c>
      <c r="P90" s="84">
        <v>7.7</v>
      </c>
      <c r="Q90" s="89"/>
      <c r="R90" s="89"/>
    </row>
    <row r="91" spans="4:21" ht="16.2" thickBot="1" x14ac:dyDescent="0.35">
      <c r="D91" s="82" t="s">
        <v>62</v>
      </c>
      <c r="E91" s="83" t="s">
        <v>329</v>
      </c>
      <c r="F91" s="83">
        <v>4.72</v>
      </c>
      <c r="G91" s="83">
        <v>4.91</v>
      </c>
      <c r="H91" s="83">
        <f t="shared" si="4"/>
        <v>3.6100000000000146E-2</v>
      </c>
      <c r="I91" s="84" t="s">
        <v>71</v>
      </c>
      <c r="J91" s="84" t="s">
        <v>330</v>
      </c>
      <c r="K91" s="84">
        <v>9.06</v>
      </c>
      <c r="L91" s="84"/>
      <c r="M91" s="84"/>
      <c r="N91" s="84" t="s">
        <v>71</v>
      </c>
      <c r="O91" s="84" t="s">
        <v>331</v>
      </c>
      <c r="P91" s="84">
        <v>3.66</v>
      </c>
      <c r="Q91" s="89"/>
      <c r="R91" s="89"/>
    </row>
    <row r="92" spans="4:21" ht="16.2" thickBot="1" x14ac:dyDescent="0.35">
      <c r="D92" s="82" t="s">
        <v>62</v>
      </c>
      <c r="E92" s="83" t="s">
        <v>332</v>
      </c>
      <c r="F92" s="83">
        <v>6.67</v>
      </c>
      <c r="G92" s="83">
        <v>4.91</v>
      </c>
      <c r="H92" s="83">
        <f t="shared" si="4"/>
        <v>3.0975999999999995</v>
      </c>
      <c r="I92" s="84" t="s">
        <v>71</v>
      </c>
      <c r="J92" s="84" t="s">
        <v>333</v>
      </c>
      <c r="K92" s="84">
        <v>10</v>
      </c>
      <c r="L92" s="84"/>
      <c r="M92" s="84"/>
      <c r="N92" s="84" t="s">
        <v>71</v>
      </c>
      <c r="O92" s="84" t="s">
        <v>334</v>
      </c>
      <c r="P92" s="84">
        <v>10</v>
      </c>
      <c r="Q92" s="89"/>
      <c r="R92" s="89"/>
    </row>
    <row r="93" spans="4:21" ht="16.2" thickBot="1" x14ac:dyDescent="0.35">
      <c r="D93" s="82" t="s">
        <v>62</v>
      </c>
      <c r="E93" s="83" t="s">
        <v>335</v>
      </c>
      <c r="F93" s="83">
        <v>6.37</v>
      </c>
      <c r="G93" s="83">
        <v>4.91</v>
      </c>
      <c r="H93" s="83">
        <f t="shared" si="4"/>
        <v>2.1315999999999997</v>
      </c>
      <c r="I93" s="84" t="s">
        <v>71</v>
      </c>
      <c r="J93" s="84" t="s">
        <v>336</v>
      </c>
      <c r="K93" s="84">
        <v>1.1499999999999999</v>
      </c>
      <c r="L93" s="84"/>
      <c r="M93" s="84"/>
      <c r="N93" s="84" t="s">
        <v>71</v>
      </c>
      <c r="O93" s="84" t="s">
        <v>337</v>
      </c>
      <c r="P93" s="84">
        <v>2.92</v>
      </c>
      <c r="Q93" s="89"/>
      <c r="R93" s="89"/>
      <c r="T93" t="s">
        <v>30</v>
      </c>
      <c r="U93">
        <f>(F98+F49+K49+P49)/185</f>
        <v>4.9097297297297295</v>
      </c>
    </row>
    <row r="94" spans="4:21" ht="16.2" thickBot="1" x14ac:dyDescent="0.35">
      <c r="D94" s="82" t="s">
        <v>62</v>
      </c>
      <c r="E94" s="83" t="s">
        <v>338</v>
      </c>
      <c r="F94" s="83">
        <v>8.93</v>
      </c>
      <c r="G94" s="83">
        <v>4.91</v>
      </c>
      <c r="H94" s="83">
        <f t="shared" si="4"/>
        <v>16.160399999999996</v>
      </c>
      <c r="I94" s="84" t="s">
        <v>71</v>
      </c>
      <c r="J94" s="84" t="s">
        <v>339</v>
      </c>
      <c r="K94" s="84">
        <v>10</v>
      </c>
      <c r="L94" s="84"/>
      <c r="M94" s="84"/>
      <c r="N94" s="84" t="s">
        <v>71</v>
      </c>
      <c r="O94" s="84" t="s">
        <v>340</v>
      </c>
      <c r="P94" s="84">
        <v>6.94</v>
      </c>
      <c r="Q94" s="89"/>
      <c r="R94" s="89"/>
    </row>
    <row r="95" spans="4:21" ht="16.2" thickBot="1" x14ac:dyDescent="0.35">
      <c r="D95" s="82" t="s">
        <v>62</v>
      </c>
      <c r="E95" s="83" t="s">
        <v>341</v>
      </c>
      <c r="F95" s="83">
        <v>5.14</v>
      </c>
      <c r="G95" s="83">
        <v>4.91</v>
      </c>
      <c r="H95" s="83">
        <f t="shared" si="4"/>
        <v>5.2899999999999787E-2</v>
      </c>
      <c r="I95" s="84" t="s">
        <v>71</v>
      </c>
      <c r="J95" s="84" t="s">
        <v>342</v>
      </c>
      <c r="K95" s="84">
        <v>2.1800000000000002</v>
      </c>
      <c r="L95" s="84"/>
      <c r="M95" s="84"/>
      <c r="N95" s="84" t="s">
        <v>71</v>
      </c>
      <c r="O95" s="84" t="s">
        <v>343</v>
      </c>
      <c r="P95" s="84">
        <v>9.26</v>
      </c>
      <c r="Q95" s="89"/>
      <c r="R95" s="89"/>
      <c r="T95" t="s">
        <v>31</v>
      </c>
      <c r="U95">
        <f>+(K98+P98+O147+J147+E147)/195</f>
        <v>7.9743589743589745</v>
      </c>
    </row>
    <row r="96" spans="4:21" ht="16.2" thickBot="1" x14ac:dyDescent="0.35">
      <c r="D96" s="82" t="s">
        <v>62</v>
      </c>
      <c r="E96" s="83" t="s">
        <v>344</v>
      </c>
      <c r="F96" s="83">
        <v>10</v>
      </c>
      <c r="G96" s="83">
        <v>4.91</v>
      </c>
      <c r="H96" s="83">
        <f t="shared" si="4"/>
        <v>25.908099999999997</v>
      </c>
      <c r="I96" s="84" t="s">
        <v>71</v>
      </c>
      <c r="J96" s="84" t="s">
        <v>345</v>
      </c>
      <c r="K96" s="84">
        <v>6.81</v>
      </c>
      <c r="L96" s="84"/>
      <c r="M96" s="84"/>
      <c r="N96" s="84" t="s">
        <v>71</v>
      </c>
      <c r="O96" s="84" t="s">
        <v>346</v>
      </c>
      <c r="P96" s="84">
        <v>10</v>
      </c>
      <c r="Q96" s="89"/>
      <c r="R96" s="89"/>
    </row>
    <row r="97" spans="4:21" ht="16.2" thickBot="1" x14ac:dyDescent="0.35">
      <c r="D97" s="82" t="s">
        <v>62</v>
      </c>
      <c r="E97" s="83" t="s">
        <v>347</v>
      </c>
      <c r="F97" s="83">
        <v>3.85</v>
      </c>
      <c r="G97" s="83">
        <v>4.91</v>
      </c>
      <c r="H97" s="83">
        <f t="shared" si="4"/>
        <v>1.1236000000000002</v>
      </c>
      <c r="I97" s="84" t="s">
        <v>71</v>
      </c>
      <c r="J97" s="84" t="s">
        <v>348</v>
      </c>
      <c r="K97" s="84">
        <v>10</v>
      </c>
      <c r="L97" s="84"/>
      <c r="M97" s="84"/>
      <c r="N97" s="84" t="s">
        <v>71</v>
      </c>
      <c r="O97" s="84" t="s">
        <v>349</v>
      </c>
      <c r="P97" s="84">
        <v>2.9</v>
      </c>
      <c r="Q97" s="89"/>
      <c r="R97" s="89"/>
    </row>
    <row r="98" spans="4:21" ht="16.2" thickBot="1" x14ac:dyDescent="0.35">
      <c r="D98" s="82"/>
      <c r="E98" s="83"/>
      <c r="F98" s="83">
        <f>SUM(F51:F97)+SUM(T2:T7)</f>
        <v>277.76</v>
      </c>
      <c r="G98" s="83"/>
      <c r="H98" s="83"/>
      <c r="I98" s="83">
        <f t="shared" ref="I98:P98" si="5">SUM(I51:I97)</f>
        <v>0</v>
      </c>
      <c r="J98" s="83">
        <f t="shared" si="5"/>
        <v>0</v>
      </c>
      <c r="K98" s="83">
        <f>SUM(K57:K97)</f>
        <v>328.29999999999984</v>
      </c>
      <c r="L98" s="83"/>
      <c r="M98" s="83"/>
      <c r="N98" s="83">
        <f t="shared" si="5"/>
        <v>0</v>
      </c>
      <c r="O98" s="83">
        <f t="shared" si="5"/>
        <v>0</v>
      </c>
      <c r="P98" s="83">
        <f t="shared" si="5"/>
        <v>342.65000000000009</v>
      </c>
      <c r="Q98" s="90"/>
      <c r="R98" s="90"/>
      <c r="U98">
        <f>U95/U93</f>
        <v>1.6241951010199387</v>
      </c>
    </row>
    <row r="99" spans="4:21" ht="31.8" thickBot="1" x14ac:dyDescent="0.35">
      <c r="D99" s="85" t="s">
        <v>20</v>
      </c>
      <c r="E99" s="86" t="s">
        <v>76</v>
      </c>
      <c r="F99" s="86" t="s">
        <v>77</v>
      </c>
      <c r="G99" s="86"/>
      <c r="H99" s="86"/>
      <c r="I99" s="87" t="s">
        <v>20</v>
      </c>
      <c r="J99" s="87" t="s">
        <v>76</v>
      </c>
      <c r="K99" s="87" t="s">
        <v>77</v>
      </c>
      <c r="L99" s="87"/>
      <c r="M99" s="87"/>
      <c r="N99" s="87" t="s">
        <v>20</v>
      </c>
      <c r="O99" s="87" t="s">
        <v>76</v>
      </c>
      <c r="P99" s="87" t="s">
        <v>77</v>
      </c>
      <c r="Q99" s="88"/>
      <c r="R99" s="88"/>
    </row>
    <row r="100" spans="4:21" ht="16.2" thickBot="1" x14ac:dyDescent="0.35">
      <c r="D100" s="82" t="s">
        <v>71</v>
      </c>
      <c r="E100" s="83" t="s">
        <v>350</v>
      </c>
      <c r="F100" s="83">
        <v>8.77</v>
      </c>
      <c r="G100" s="83"/>
      <c r="H100" s="83"/>
      <c r="I100" s="84" t="s">
        <v>71</v>
      </c>
      <c r="J100" s="84" t="s">
        <v>351</v>
      </c>
      <c r="K100" s="84">
        <v>9.1199999999999992</v>
      </c>
      <c r="L100" s="84"/>
      <c r="M100" s="84"/>
      <c r="N100" s="84" t="s">
        <v>71</v>
      </c>
      <c r="O100" s="84" t="s">
        <v>352</v>
      </c>
      <c r="P100" s="84">
        <v>8.7799999999999994</v>
      </c>
      <c r="Q100" s="89"/>
      <c r="R100" s="89"/>
    </row>
    <row r="101" spans="4:21" ht="16.2" thickBot="1" x14ac:dyDescent="0.35">
      <c r="D101" s="82" t="s">
        <v>71</v>
      </c>
      <c r="E101" s="83" t="s">
        <v>353</v>
      </c>
      <c r="F101" s="83">
        <v>4.75</v>
      </c>
      <c r="G101" s="83"/>
      <c r="H101" s="83"/>
      <c r="I101" s="84" t="s">
        <v>71</v>
      </c>
      <c r="J101" s="84" t="s">
        <v>354</v>
      </c>
      <c r="K101" s="84">
        <v>10</v>
      </c>
      <c r="L101" s="84"/>
      <c r="M101" s="84"/>
      <c r="N101" s="84" t="s">
        <v>71</v>
      </c>
      <c r="O101" s="84" t="s">
        <v>355</v>
      </c>
      <c r="P101" s="84">
        <v>9.1300000000000008</v>
      </c>
      <c r="Q101" s="89"/>
      <c r="R101" s="89"/>
    </row>
    <row r="102" spans="4:21" ht="16.2" thickBot="1" x14ac:dyDescent="0.35">
      <c r="D102" s="82" t="s">
        <v>71</v>
      </c>
      <c r="E102" s="83" t="s">
        <v>356</v>
      </c>
      <c r="F102" s="83">
        <v>10</v>
      </c>
      <c r="G102" s="83"/>
      <c r="H102" s="83"/>
      <c r="I102" s="84" t="s">
        <v>71</v>
      </c>
      <c r="J102" s="84" t="s">
        <v>357</v>
      </c>
      <c r="K102" s="84">
        <v>5.41</v>
      </c>
      <c r="L102" s="84"/>
      <c r="M102" s="84"/>
      <c r="N102" s="84" t="s">
        <v>71</v>
      </c>
      <c r="O102" s="84" t="s">
        <v>358</v>
      </c>
      <c r="P102" s="84">
        <v>5.59</v>
      </c>
      <c r="Q102" s="89"/>
      <c r="R102" s="89"/>
    </row>
    <row r="103" spans="4:21" ht="16.2" thickBot="1" x14ac:dyDescent="0.35">
      <c r="D103" s="82" t="s">
        <v>71</v>
      </c>
      <c r="E103" s="83" t="s">
        <v>359</v>
      </c>
      <c r="F103" s="83">
        <v>9.5399999999999991</v>
      </c>
      <c r="G103" s="83"/>
      <c r="H103" s="83"/>
      <c r="I103" s="84" t="s">
        <v>71</v>
      </c>
      <c r="J103" s="84" t="s">
        <v>360</v>
      </c>
      <c r="K103" s="84">
        <v>10</v>
      </c>
      <c r="L103" s="84"/>
      <c r="M103" s="84"/>
      <c r="N103" s="84" t="s">
        <v>71</v>
      </c>
      <c r="O103" s="84" t="s">
        <v>361</v>
      </c>
      <c r="P103" s="84">
        <v>8.83</v>
      </c>
      <c r="Q103" s="89"/>
      <c r="R103" s="89"/>
    </row>
    <row r="104" spans="4:21" ht="16.2" thickBot="1" x14ac:dyDescent="0.35">
      <c r="D104" s="82" t="s">
        <v>71</v>
      </c>
      <c r="E104" s="83" t="s">
        <v>362</v>
      </c>
      <c r="F104" s="83">
        <v>6.29</v>
      </c>
      <c r="G104" s="83"/>
      <c r="H104" s="83"/>
      <c r="I104" s="84" t="s">
        <v>71</v>
      </c>
      <c r="J104" s="84" t="s">
        <v>363</v>
      </c>
      <c r="K104" s="84">
        <v>4.6500000000000004</v>
      </c>
      <c r="L104" s="84"/>
      <c r="M104" s="84"/>
      <c r="N104" s="84" t="s">
        <v>71</v>
      </c>
      <c r="O104" s="84" t="s">
        <v>364</v>
      </c>
      <c r="P104" s="84">
        <v>10</v>
      </c>
      <c r="Q104" s="89"/>
      <c r="R104" s="89"/>
    </row>
    <row r="105" spans="4:21" ht="16.2" thickBot="1" x14ac:dyDescent="0.35">
      <c r="D105" s="82" t="s">
        <v>71</v>
      </c>
      <c r="E105" s="83" t="s">
        <v>365</v>
      </c>
      <c r="F105" s="83">
        <v>9.01</v>
      </c>
      <c r="G105" s="83"/>
      <c r="H105" s="83"/>
      <c r="I105" s="84" t="s">
        <v>71</v>
      </c>
      <c r="J105" s="84" t="s">
        <v>366</v>
      </c>
      <c r="K105" s="84">
        <v>3.8</v>
      </c>
      <c r="L105" s="84"/>
      <c r="M105" s="84"/>
      <c r="N105" s="84" t="s">
        <v>71</v>
      </c>
      <c r="O105" s="84" t="s">
        <v>367</v>
      </c>
      <c r="P105" s="84">
        <v>10</v>
      </c>
      <c r="Q105" s="89"/>
      <c r="R105" s="89"/>
    </row>
    <row r="106" spans="4:21" ht="16.2" thickBot="1" x14ac:dyDescent="0.35">
      <c r="D106" s="82" t="s">
        <v>71</v>
      </c>
      <c r="E106" s="83" t="s">
        <v>368</v>
      </c>
      <c r="F106" s="83">
        <v>7.17</v>
      </c>
      <c r="G106" s="83"/>
      <c r="H106" s="83"/>
      <c r="I106" s="84" t="s">
        <v>71</v>
      </c>
      <c r="J106" s="84" t="s">
        <v>369</v>
      </c>
      <c r="K106" s="84">
        <v>10</v>
      </c>
      <c r="L106" s="84"/>
      <c r="M106" s="84"/>
      <c r="N106" s="84" t="s">
        <v>71</v>
      </c>
      <c r="O106" s="84" t="s">
        <v>370</v>
      </c>
      <c r="P106" s="84">
        <v>10</v>
      </c>
      <c r="Q106" s="89"/>
      <c r="R106" s="89"/>
    </row>
    <row r="107" spans="4:21" ht="16.2" thickBot="1" x14ac:dyDescent="0.35">
      <c r="D107" s="82" t="s">
        <v>71</v>
      </c>
      <c r="E107" s="83" t="s">
        <v>371</v>
      </c>
      <c r="F107" s="83">
        <v>9.19</v>
      </c>
      <c r="G107" s="83"/>
      <c r="H107" s="83"/>
      <c r="I107" s="84" t="s">
        <v>71</v>
      </c>
      <c r="J107" s="84" t="s">
        <v>372</v>
      </c>
      <c r="K107" s="84">
        <v>10</v>
      </c>
      <c r="L107" s="84"/>
      <c r="M107" s="84"/>
      <c r="N107" s="84" t="s">
        <v>71</v>
      </c>
      <c r="O107" s="84" t="s">
        <v>373</v>
      </c>
      <c r="P107" s="84">
        <v>10</v>
      </c>
      <c r="Q107" s="89"/>
      <c r="R107" s="89"/>
    </row>
    <row r="108" spans="4:21" ht="16.2" thickBot="1" x14ac:dyDescent="0.35">
      <c r="D108" s="82" t="s">
        <v>71</v>
      </c>
      <c r="E108" s="83" t="s">
        <v>374</v>
      </c>
      <c r="F108" s="83">
        <v>10</v>
      </c>
      <c r="G108" s="83"/>
      <c r="H108" s="83"/>
      <c r="I108" s="84" t="s">
        <v>71</v>
      </c>
      <c r="J108" s="84" t="s">
        <v>375</v>
      </c>
      <c r="K108" s="84">
        <v>10</v>
      </c>
      <c r="L108" s="84"/>
      <c r="M108" s="84"/>
      <c r="N108" s="84" t="s">
        <v>71</v>
      </c>
      <c r="O108" s="84" t="s">
        <v>376</v>
      </c>
      <c r="P108" s="84">
        <v>5.61</v>
      </c>
      <c r="Q108" s="89"/>
      <c r="R108" s="89"/>
    </row>
    <row r="109" spans="4:21" ht="16.2" thickBot="1" x14ac:dyDescent="0.35">
      <c r="D109" s="82" t="s">
        <v>71</v>
      </c>
      <c r="E109" s="83" t="s">
        <v>377</v>
      </c>
      <c r="F109" s="83">
        <v>10</v>
      </c>
      <c r="G109" s="83"/>
      <c r="H109" s="83"/>
      <c r="I109" s="84" t="s">
        <v>71</v>
      </c>
      <c r="J109" s="84" t="s">
        <v>378</v>
      </c>
      <c r="K109" s="84">
        <v>10</v>
      </c>
      <c r="L109" s="84"/>
      <c r="M109" s="84"/>
      <c r="N109" s="84" t="s">
        <v>71</v>
      </c>
      <c r="O109" s="84" t="s">
        <v>379</v>
      </c>
      <c r="P109" s="84">
        <v>10</v>
      </c>
      <c r="Q109" s="89"/>
      <c r="R109" s="89"/>
    </row>
    <row r="110" spans="4:21" ht="16.2" thickBot="1" x14ac:dyDescent="0.35">
      <c r="D110" s="82" t="s">
        <v>71</v>
      </c>
      <c r="E110" s="83" t="s">
        <v>380</v>
      </c>
      <c r="F110" s="83">
        <v>3.7</v>
      </c>
      <c r="G110" s="83"/>
      <c r="H110" s="83"/>
      <c r="I110" s="84" t="s">
        <v>71</v>
      </c>
      <c r="J110" s="84" t="s">
        <v>381</v>
      </c>
      <c r="K110" s="84">
        <v>8.68</v>
      </c>
      <c r="L110" s="84"/>
      <c r="M110" s="84"/>
      <c r="N110" s="84" t="s">
        <v>71</v>
      </c>
      <c r="O110" s="84" t="s">
        <v>382</v>
      </c>
      <c r="P110" s="84">
        <v>9.4700000000000006</v>
      </c>
      <c r="Q110" s="89"/>
      <c r="R110" s="89"/>
    </row>
    <row r="111" spans="4:21" ht="16.2" thickBot="1" x14ac:dyDescent="0.35">
      <c r="D111" s="82" t="s">
        <v>71</v>
      </c>
      <c r="E111" s="83" t="s">
        <v>383</v>
      </c>
      <c r="F111" s="83">
        <v>10</v>
      </c>
      <c r="G111" s="83"/>
      <c r="H111" s="83"/>
      <c r="I111" s="84" t="s">
        <v>71</v>
      </c>
      <c r="J111" s="84" t="s">
        <v>384</v>
      </c>
      <c r="K111" s="84">
        <v>5.09</v>
      </c>
      <c r="L111" s="84"/>
      <c r="M111" s="84"/>
      <c r="N111" s="84" t="s">
        <v>71</v>
      </c>
      <c r="O111" s="84" t="s">
        <v>385</v>
      </c>
      <c r="P111" s="84">
        <v>10</v>
      </c>
      <c r="Q111" s="89"/>
      <c r="R111" s="89"/>
    </row>
    <row r="112" spans="4:21" ht="16.2" thickBot="1" x14ac:dyDescent="0.35">
      <c r="D112" s="82" t="s">
        <v>71</v>
      </c>
      <c r="E112" s="83" t="s">
        <v>386</v>
      </c>
      <c r="F112" s="83">
        <v>0.8</v>
      </c>
      <c r="G112" s="83"/>
      <c r="H112" s="83"/>
      <c r="I112" s="84" t="s">
        <v>71</v>
      </c>
      <c r="J112" s="84" t="s">
        <v>387</v>
      </c>
      <c r="K112" s="84">
        <v>9.0399999999999991</v>
      </c>
      <c r="L112" s="84"/>
      <c r="M112" s="84"/>
      <c r="N112" s="84" t="s">
        <v>71</v>
      </c>
      <c r="O112" s="84" t="s">
        <v>388</v>
      </c>
      <c r="P112" s="84">
        <v>5.45</v>
      </c>
      <c r="Q112" s="89"/>
      <c r="R112" s="89"/>
    </row>
    <row r="113" spans="4:18" ht="16.2" thickBot="1" x14ac:dyDescent="0.35">
      <c r="D113" s="82" t="s">
        <v>71</v>
      </c>
      <c r="E113" s="83" t="s">
        <v>389</v>
      </c>
      <c r="F113" s="83">
        <v>8.11</v>
      </c>
      <c r="G113" s="83"/>
      <c r="H113" s="83"/>
      <c r="I113" s="84" t="s">
        <v>71</v>
      </c>
      <c r="J113" s="84" t="s">
        <v>390</v>
      </c>
      <c r="K113" s="84">
        <v>5.98</v>
      </c>
      <c r="L113" s="84"/>
      <c r="M113" s="84"/>
      <c r="N113" s="84"/>
      <c r="O113" s="84"/>
      <c r="P113" s="84"/>
      <c r="Q113" s="89"/>
      <c r="R113" s="89"/>
    </row>
    <row r="114" spans="4:18" ht="16.2" thickBot="1" x14ac:dyDescent="0.35">
      <c r="D114" s="82" t="s">
        <v>71</v>
      </c>
      <c r="E114" s="83" t="s">
        <v>391</v>
      </c>
      <c r="F114" s="83">
        <v>10</v>
      </c>
      <c r="G114" s="83"/>
      <c r="H114" s="83"/>
      <c r="I114" s="84" t="s">
        <v>71</v>
      </c>
      <c r="J114" s="84" t="s">
        <v>392</v>
      </c>
      <c r="K114" s="84">
        <v>10</v>
      </c>
      <c r="L114" s="84"/>
      <c r="M114" s="84"/>
      <c r="N114" s="84"/>
      <c r="O114" s="84"/>
      <c r="P114" s="84"/>
      <c r="Q114" s="89"/>
      <c r="R114" s="89"/>
    </row>
    <row r="115" spans="4:18" ht="16.2" thickBot="1" x14ac:dyDescent="0.35">
      <c r="D115" s="82" t="s">
        <v>71</v>
      </c>
      <c r="E115" s="83" t="s">
        <v>393</v>
      </c>
      <c r="F115" s="83">
        <v>9.8699999999999992</v>
      </c>
      <c r="G115" s="83"/>
      <c r="H115" s="83"/>
      <c r="I115" s="84" t="s">
        <v>71</v>
      </c>
      <c r="J115" s="84" t="s">
        <v>394</v>
      </c>
      <c r="K115" s="84">
        <v>8.1300000000000008</v>
      </c>
      <c r="L115" s="84"/>
      <c r="M115" s="84"/>
      <c r="N115" s="84"/>
      <c r="O115" s="84"/>
      <c r="P115" s="84"/>
      <c r="Q115" s="89"/>
      <c r="R115" s="89"/>
    </row>
    <row r="116" spans="4:18" ht="16.2" thickBot="1" x14ac:dyDescent="0.35">
      <c r="D116" s="82" t="s">
        <v>71</v>
      </c>
      <c r="E116" s="83" t="s">
        <v>395</v>
      </c>
      <c r="F116" s="83">
        <v>6.2</v>
      </c>
      <c r="G116" s="83"/>
      <c r="H116" s="83"/>
      <c r="I116" s="84" t="s">
        <v>71</v>
      </c>
      <c r="J116" s="84" t="s">
        <v>396</v>
      </c>
      <c r="K116" s="84">
        <v>5.38</v>
      </c>
      <c r="L116" s="84"/>
      <c r="M116" s="84"/>
      <c r="N116" s="84"/>
      <c r="O116" s="84"/>
      <c r="P116" s="84"/>
      <c r="Q116" s="89"/>
      <c r="R116" s="89"/>
    </row>
    <row r="117" spans="4:18" ht="16.2" thickBot="1" x14ac:dyDescent="0.35">
      <c r="D117" s="82" t="s">
        <v>71</v>
      </c>
      <c r="E117" s="83" t="s">
        <v>397</v>
      </c>
      <c r="F117" s="83">
        <v>7.89</v>
      </c>
      <c r="G117" s="83"/>
      <c r="H117" s="83"/>
      <c r="I117" s="84" t="s">
        <v>71</v>
      </c>
      <c r="J117" s="84" t="s">
        <v>398</v>
      </c>
      <c r="K117" s="84">
        <v>7.43</v>
      </c>
      <c r="L117" s="84"/>
      <c r="M117" s="84"/>
      <c r="N117" s="84"/>
      <c r="O117" s="84"/>
      <c r="P117" s="84"/>
      <c r="Q117" s="89"/>
      <c r="R117" s="89"/>
    </row>
    <row r="118" spans="4:18" ht="16.2" thickBot="1" x14ac:dyDescent="0.35">
      <c r="D118" s="82" t="s">
        <v>71</v>
      </c>
      <c r="E118" s="83" t="s">
        <v>399</v>
      </c>
      <c r="F118" s="83">
        <v>6.73</v>
      </c>
      <c r="G118" s="83"/>
      <c r="H118" s="83"/>
      <c r="I118" s="84" t="s">
        <v>71</v>
      </c>
      <c r="J118" s="84" t="s">
        <v>400</v>
      </c>
      <c r="K118" s="84">
        <v>10</v>
      </c>
      <c r="L118" s="84"/>
      <c r="M118" s="84"/>
      <c r="N118" s="84"/>
      <c r="O118" s="84"/>
      <c r="P118" s="84"/>
      <c r="Q118" s="89"/>
      <c r="R118" s="89"/>
    </row>
    <row r="119" spans="4:18" ht="16.2" thickBot="1" x14ac:dyDescent="0.35">
      <c r="D119" s="82" t="s">
        <v>71</v>
      </c>
      <c r="E119" s="83" t="s">
        <v>401</v>
      </c>
      <c r="F119" s="83">
        <v>6.34</v>
      </c>
      <c r="G119" s="83"/>
      <c r="H119" s="83"/>
      <c r="I119" s="84" t="s">
        <v>71</v>
      </c>
      <c r="J119" s="84" t="s">
        <v>402</v>
      </c>
      <c r="K119" s="84">
        <v>6.44</v>
      </c>
      <c r="L119" s="84"/>
      <c r="M119" s="84"/>
      <c r="N119" s="84"/>
      <c r="O119" s="84"/>
      <c r="P119" s="84"/>
      <c r="Q119" s="89"/>
      <c r="R119" s="89"/>
    </row>
    <row r="120" spans="4:18" ht="16.2" thickBot="1" x14ac:dyDescent="0.35">
      <c r="D120" s="82" t="s">
        <v>71</v>
      </c>
      <c r="E120" s="83" t="s">
        <v>403</v>
      </c>
      <c r="F120" s="83">
        <v>10</v>
      </c>
      <c r="G120" s="83"/>
      <c r="H120" s="83"/>
      <c r="I120" s="84" t="s">
        <v>71</v>
      </c>
      <c r="J120" s="84" t="s">
        <v>404</v>
      </c>
      <c r="K120" s="84">
        <v>5.39</v>
      </c>
      <c r="L120" s="84"/>
      <c r="M120" s="84"/>
      <c r="N120" s="84"/>
      <c r="O120" s="84"/>
      <c r="P120" s="84"/>
      <c r="Q120" s="89"/>
      <c r="R120" s="89"/>
    </row>
    <row r="121" spans="4:18" ht="16.2" thickBot="1" x14ac:dyDescent="0.35">
      <c r="D121" s="82" t="s">
        <v>71</v>
      </c>
      <c r="E121" s="83" t="s">
        <v>405</v>
      </c>
      <c r="F121" s="83">
        <v>10</v>
      </c>
      <c r="G121" s="83"/>
      <c r="H121" s="83"/>
      <c r="I121" s="84" t="s">
        <v>71</v>
      </c>
      <c r="J121" s="84" t="s">
        <v>406</v>
      </c>
      <c r="K121" s="84">
        <v>9.7200000000000006</v>
      </c>
      <c r="L121" s="84"/>
      <c r="M121" s="84"/>
      <c r="N121" s="84"/>
      <c r="O121" s="84"/>
      <c r="P121" s="84"/>
      <c r="Q121" s="89"/>
      <c r="R121" s="89"/>
    </row>
    <row r="122" spans="4:18" ht="16.2" thickBot="1" x14ac:dyDescent="0.35">
      <c r="D122" s="82" t="s">
        <v>71</v>
      </c>
      <c r="E122" s="83" t="s">
        <v>407</v>
      </c>
      <c r="F122" s="83">
        <v>5.92</v>
      </c>
      <c r="G122" s="83"/>
      <c r="H122" s="83"/>
      <c r="I122" s="84" t="s">
        <v>71</v>
      </c>
      <c r="J122" s="84" t="s">
        <v>408</v>
      </c>
      <c r="K122" s="84">
        <v>9.7200000000000006</v>
      </c>
      <c r="L122" s="84"/>
      <c r="M122" s="84"/>
      <c r="N122" s="84"/>
      <c r="O122" s="84"/>
      <c r="P122" s="84"/>
      <c r="Q122" s="89"/>
      <c r="R122" s="89"/>
    </row>
    <row r="123" spans="4:18" ht="16.2" thickBot="1" x14ac:dyDescent="0.35">
      <c r="D123" s="82" t="s">
        <v>71</v>
      </c>
      <c r="E123" s="83" t="s">
        <v>409</v>
      </c>
      <c r="F123" s="83">
        <v>10</v>
      </c>
      <c r="G123" s="83"/>
      <c r="H123" s="83"/>
      <c r="I123" s="84" t="s">
        <v>71</v>
      </c>
      <c r="J123" s="84" t="s">
        <v>410</v>
      </c>
      <c r="K123" s="84">
        <v>6.67</v>
      </c>
      <c r="L123" s="84"/>
      <c r="M123" s="84"/>
      <c r="N123" s="84"/>
      <c r="O123" s="84"/>
      <c r="P123" s="84"/>
      <c r="Q123" s="89"/>
      <c r="R123" s="89"/>
    </row>
    <row r="124" spans="4:18" ht="16.2" thickBot="1" x14ac:dyDescent="0.35">
      <c r="D124" s="82" t="s">
        <v>71</v>
      </c>
      <c r="E124" s="83" t="s">
        <v>411</v>
      </c>
      <c r="F124" s="83">
        <v>9.98</v>
      </c>
      <c r="G124" s="83"/>
      <c r="H124" s="83"/>
      <c r="I124" s="84" t="s">
        <v>71</v>
      </c>
      <c r="J124" s="84" t="s">
        <v>412</v>
      </c>
      <c r="K124" s="84">
        <v>6.82</v>
      </c>
      <c r="L124" s="84"/>
      <c r="M124" s="84"/>
      <c r="N124" s="84"/>
      <c r="O124" s="84"/>
      <c r="P124" s="84"/>
      <c r="Q124" s="89"/>
      <c r="R124" s="89"/>
    </row>
    <row r="125" spans="4:18" ht="16.2" thickBot="1" x14ac:dyDescent="0.35">
      <c r="D125" s="82" t="s">
        <v>71</v>
      </c>
      <c r="E125" s="83" t="s">
        <v>413</v>
      </c>
      <c r="F125" s="83">
        <v>10</v>
      </c>
      <c r="G125" s="83"/>
      <c r="H125" s="83"/>
      <c r="I125" s="84" t="s">
        <v>71</v>
      </c>
      <c r="J125" s="84" t="s">
        <v>414</v>
      </c>
      <c r="K125" s="84">
        <v>9.67</v>
      </c>
      <c r="L125" s="84"/>
      <c r="M125" s="84"/>
      <c r="N125" s="84"/>
      <c r="O125" s="84"/>
      <c r="P125" s="84"/>
      <c r="Q125" s="89"/>
      <c r="R125" s="89"/>
    </row>
    <row r="126" spans="4:18" ht="16.2" thickBot="1" x14ac:dyDescent="0.35">
      <c r="D126" s="82" t="s">
        <v>71</v>
      </c>
      <c r="E126" s="83" t="s">
        <v>415</v>
      </c>
      <c r="F126" s="83">
        <v>10</v>
      </c>
      <c r="G126" s="83"/>
      <c r="H126" s="83"/>
      <c r="I126" s="84" t="s">
        <v>71</v>
      </c>
      <c r="J126" s="84" t="s">
        <v>416</v>
      </c>
      <c r="K126" s="84">
        <v>2.85</v>
      </c>
      <c r="L126" s="84"/>
      <c r="M126" s="84"/>
      <c r="N126" s="84"/>
      <c r="O126" s="84"/>
      <c r="P126" s="84"/>
      <c r="Q126" s="89"/>
      <c r="R126" s="89"/>
    </row>
    <row r="127" spans="4:18" ht="16.2" thickBot="1" x14ac:dyDescent="0.35">
      <c r="D127" s="82" t="s">
        <v>71</v>
      </c>
      <c r="E127" s="83" t="s">
        <v>417</v>
      </c>
      <c r="F127" s="83">
        <v>5.36</v>
      </c>
      <c r="G127" s="83"/>
      <c r="H127" s="83"/>
      <c r="I127" s="84" t="s">
        <v>71</v>
      </c>
      <c r="J127" s="84" t="s">
        <v>418</v>
      </c>
      <c r="K127" s="84">
        <v>3.02</v>
      </c>
      <c r="L127" s="84"/>
      <c r="M127" s="84"/>
      <c r="N127" s="84"/>
      <c r="O127" s="84"/>
      <c r="P127" s="84"/>
      <c r="Q127" s="89"/>
      <c r="R127" s="89"/>
    </row>
    <row r="128" spans="4:18" ht="16.2" thickBot="1" x14ac:dyDescent="0.35">
      <c r="D128" s="82" t="s">
        <v>71</v>
      </c>
      <c r="E128" s="83" t="s">
        <v>419</v>
      </c>
      <c r="F128" s="83">
        <v>6.46</v>
      </c>
      <c r="G128" s="83"/>
      <c r="H128" s="83"/>
      <c r="I128" s="84" t="s">
        <v>71</v>
      </c>
      <c r="J128" s="84" t="s">
        <v>420</v>
      </c>
      <c r="K128" s="84">
        <v>5.81</v>
      </c>
      <c r="L128" s="84"/>
      <c r="M128" s="84"/>
      <c r="N128" s="84"/>
      <c r="O128" s="84"/>
      <c r="P128" s="84"/>
      <c r="Q128" s="89"/>
      <c r="R128" s="89"/>
    </row>
    <row r="129" spans="4:18" ht="16.2" thickBot="1" x14ac:dyDescent="0.35">
      <c r="D129" s="82" t="s">
        <v>71</v>
      </c>
      <c r="E129" s="83" t="s">
        <v>421</v>
      </c>
      <c r="F129" s="83">
        <v>10</v>
      </c>
      <c r="G129" s="83"/>
      <c r="H129" s="83"/>
      <c r="I129" s="84" t="s">
        <v>71</v>
      </c>
      <c r="J129" s="84" t="s">
        <v>422</v>
      </c>
      <c r="K129" s="84">
        <v>7.86</v>
      </c>
      <c r="L129" s="84"/>
      <c r="M129" s="84"/>
      <c r="N129" s="84"/>
      <c r="O129" s="84"/>
      <c r="P129" s="84"/>
      <c r="Q129" s="89"/>
      <c r="R129" s="89"/>
    </row>
    <row r="130" spans="4:18" ht="16.2" thickBot="1" x14ac:dyDescent="0.35">
      <c r="D130" s="82" t="s">
        <v>71</v>
      </c>
      <c r="E130" s="83" t="s">
        <v>423</v>
      </c>
      <c r="F130" s="83">
        <v>10</v>
      </c>
      <c r="G130" s="83"/>
      <c r="H130" s="83"/>
      <c r="I130" s="84" t="s">
        <v>71</v>
      </c>
      <c r="J130" s="84" t="s">
        <v>424</v>
      </c>
      <c r="K130" s="84">
        <v>9.99</v>
      </c>
      <c r="L130" s="84"/>
      <c r="M130" s="84"/>
      <c r="N130" s="84"/>
      <c r="O130" s="84"/>
      <c r="P130" s="84"/>
      <c r="Q130" s="89"/>
      <c r="R130" s="89"/>
    </row>
    <row r="131" spans="4:18" ht="16.2" thickBot="1" x14ac:dyDescent="0.35">
      <c r="D131" s="82" t="s">
        <v>71</v>
      </c>
      <c r="E131" s="83" t="s">
        <v>425</v>
      </c>
      <c r="F131" s="83">
        <v>8.65</v>
      </c>
      <c r="G131" s="83"/>
      <c r="H131" s="83"/>
      <c r="I131" s="84" t="s">
        <v>71</v>
      </c>
      <c r="J131" s="84" t="s">
        <v>426</v>
      </c>
      <c r="K131" s="84">
        <v>10</v>
      </c>
      <c r="L131" s="84"/>
      <c r="M131" s="84"/>
      <c r="N131" s="84"/>
      <c r="O131" s="84"/>
      <c r="P131" s="84"/>
      <c r="Q131" s="89"/>
      <c r="R131" s="89"/>
    </row>
    <row r="132" spans="4:18" ht="16.2" thickBot="1" x14ac:dyDescent="0.35">
      <c r="D132" s="82" t="s">
        <v>71</v>
      </c>
      <c r="E132" s="83" t="s">
        <v>427</v>
      </c>
      <c r="F132" s="83">
        <v>9.2100000000000009</v>
      </c>
      <c r="G132" s="83"/>
      <c r="H132" s="83"/>
      <c r="I132" s="84" t="s">
        <v>71</v>
      </c>
      <c r="J132" s="84" t="s">
        <v>428</v>
      </c>
      <c r="K132" s="84">
        <v>10</v>
      </c>
      <c r="L132" s="84"/>
      <c r="M132" s="84"/>
      <c r="N132" s="84"/>
      <c r="O132" s="84"/>
      <c r="P132" s="84"/>
      <c r="Q132" s="89"/>
      <c r="R132" s="89"/>
    </row>
    <row r="133" spans="4:18" ht="16.2" thickBot="1" x14ac:dyDescent="0.35">
      <c r="D133" s="82" t="s">
        <v>71</v>
      </c>
      <c r="E133" s="83" t="s">
        <v>429</v>
      </c>
      <c r="F133" s="83">
        <v>10</v>
      </c>
      <c r="G133" s="83"/>
      <c r="H133" s="83"/>
      <c r="I133" s="84" t="s">
        <v>71</v>
      </c>
      <c r="J133" s="84" t="s">
        <v>430</v>
      </c>
      <c r="K133" s="84">
        <v>8.08</v>
      </c>
      <c r="L133" s="84"/>
      <c r="M133" s="84"/>
      <c r="N133" s="84"/>
      <c r="O133" s="84"/>
      <c r="P133" s="84"/>
      <c r="Q133" s="89"/>
      <c r="R133" s="89"/>
    </row>
    <row r="134" spans="4:18" ht="16.2" thickBot="1" x14ac:dyDescent="0.35">
      <c r="D134" s="82" t="s">
        <v>71</v>
      </c>
      <c r="E134" s="83" t="s">
        <v>431</v>
      </c>
      <c r="F134" s="83">
        <v>6.33</v>
      </c>
      <c r="G134" s="83"/>
      <c r="H134" s="83"/>
      <c r="I134" s="84" t="s">
        <v>71</v>
      </c>
      <c r="J134" s="84" t="s">
        <v>432</v>
      </c>
      <c r="K134" s="84">
        <v>8.65</v>
      </c>
      <c r="L134" s="84"/>
      <c r="M134" s="84"/>
      <c r="N134" s="84"/>
      <c r="O134" s="84"/>
      <c r="P134" s="84"/>
      <c r="Q134" s="89"/>
      <c r="R134" s="89"/>
    </row>
    <row r="135" spans="4:18" ht="16.2" thickBot="1" x14ac:dyDescent="0.35">
      <c r="D135" s="82" t="s">
        <v>71</v>
      </c>
      <c r="E135" s="83" t="s">
        <v>433</v>
      </c>
      <c r="F135" s="83">
        <v>10</v>
      </c>
      <c r="G135" s="83"/>
      <c r="H135" s="83"/>
      <c r="I135" s="84" t="s">
        <v>71</v>
      </c>
      <c r="J135" s="84" t="s">
        <v>434</v>
      </c>
      <c r="K135" s="84">
        <v>4.66</v>
      </c>
      <c r="L135" s="84"/>
      <c r="M135" s="84"/>
      <c r="N135" s="84"/>
      <c r="O135" s="84"/>
      <c r="P135" s="84"/>
      <c r="Q135" s="89"/>
      <c r="R135" s="89"/>
    </row>
    <row r="136" spans="4:18" ht="16.2" thickBot="1" x14ac:dyDescent="0.35">
      <c r="D136" s="82" t="s">
        <v>71</v>
      </c>
      <c r="E136" s="83" t="s">
        <v>435</v>
      </c>
      <c r="F136" s="83">
        <v>7.91</v>
      </c>
      <c r="G136" s="83"/>
      <c r="H136" s="83"/>
      <c r="I136" s="84" t="s">
        <v>71</v>
      </c>
      <c r="J136" s="84" t="s">
        <v>436</v>
      </c>
      <c r="K136" s="84">
        <v>8.65</v>
      </c>
      <c r="L136" s="84"/>
      <c r="M136" s="84"/>
      <c r="N136" s="84"/>
      <c r="O136" s="84"/>
      <c r="P136" s="84"/>
      <c r="Q136" s="89"/>
      <c r="R136" s="89"/>
    </row>
    <row r="137" spans="4:18" ht="16.2" thickBot="1" x14ac:dyDescent="0.35">
      <c r="D137" s="82" t="s">
        <v>71</v>
      </c>
      <c r="E137" s="83" t="s">
        <v>437</v>
      </c>
      <c r="F137" s="83">
        <v>7.85</v>
      </c>
      <c r="G137" s="83"/>
      <c r="H137" s="83"/>
      <c r="I137" s="84" t="s">
        <v>71</v>
      </c>
      <c r="J137" s="84" t="s">
        <v>438</v>
      </c>
      <c r="K137" s="84">
        <v>7.56</v>
      </c>
      <c r="L137" s="84"/>
      <c r="M137" s="84"/>
      <c r="N137" s="84"/>
      <c r="O137" s="84"/>
      <c r="P137" s="84"/>
      <c r="Q137" s="89"/>
      <c r="R137" s="89"/>
    </row>
    <row r="138" spans="4:18" ht="16.2" thickBot="1" x14ac:dyDescent="0.35">
      <c r="D138" s="82" t="s">
        <v>71</v>
      </c>
      <c r="E138" s="83" t="s">
        <v>439</v>
      </c>
      <c r="F138" s="83">
        <v>10</v>
      </c>
      <c r="G138" s="83"/>
      <c r="H138" s="83"/>
      <c r="I138" s="84" t="s">
        <v>71</v>
      </c>
      <c r="J138" s="84" t="s">
        <v>440</v>
      </c>
      <c r="K138" s="84">
        <v>10</v>
      </c>
      <c r="L138" s="84"/>
      <c r="M138" s="84"/>
      <c r="N138" s="84"/>
      <c r="O138" s="84"/>
      <c r="P138" s="84"/>
      <c r="Q138" s="89"/>
      <c r="R138" s="89"/>
    </row>
    <row r="139" spans="4:18" ht="16.2" thickBot="1" x14ac:dyDescent="0.35">
      <c r="D139" s="82" t="s">
        <v>71</v>
      </c>
      <c r="E139" s="83" t="s">
        <v>441</v>
      </c>
      <c r="F139" s="83">
        <v>10</v>
      </c>
      <c r="G139" s="83"/>
      <c r="H139" s="83"/>
      <c r="I139" s="84" t="s">
        <v>71</v>
      </c>
      <c r="J139" s="84" t="s">
        <v>442</v>
      </c>
      <c r="K139" s="84">
        <v>5.37</v>
      </c>
      <c r="L139" s="84"/>
      <c r="M139" s="84"/>
      <c r="N139" s="84"/>
      <c r="O139" s="84"/>
      <c r="P139" s="84"/>
      <c r="Q139" s="89"/>
      <c r="R139" s="89"/>
    </row>
    <row r="140" spans="4:18" ht="16.2" thickBot="1" x14ac:dyDescent="0.35">
      <c r="D140" s="82" t="s">
        <v>71</v>
      </c>
      <c r="E140" s="83" t="s">
        <v>443</v>
      </c>
      <c r="F140" s="83">
        <v>10</v>
      </c>
      <c r="G140" s="83"/>
      <c r="H140" s="83"/>
      <c r="I140" s="84" t="s">
        <v>71</v>
      </c>
      <c r="J140" s="84" t="s">
        <v>444</v>
      </c>
      <c r="K140" s="84">
        <v>10</v>
      </c>
      <c r="L140" s="84"/>
      <c r="M140" s="84"/>
      <c r="N140" s="84"/>
      <c r="O140" s="84"/>
      <c r="P140" s="84"/>
      <c r="Q140" s="89"/>
      <c r="R140" s="89"/>
    </row>
    <row r="141" spans="4:18" ht="16.2" thickBot="1" x14ac:dyDescent="0.35">
      <c r="D141" s="82" t="s">
        <v>71</v>
      </c>
      <c r="E141" s="83" t="s">
        <v>445</v>
      </c>
      <c r="F141" s="83">
        <v>10</v>
      </c>
      <c r="G141" s="83"/>
      <c r="H141" s="83"/>
      <c r="I141" s="84" t="s">
        <v>71</v>
      </c>
      <c r="J141" s="84" t="s">
        <v>446</v>
      </c>
      <c r="K141" s="84">
        <v>10</v>
      </c>
      <c r="L141" s="84"/>
      <c r="M141" s="84"/>
      <c r="N141" s="84"/>
      <c r="O141" s="84"/>
      <c r="P141" s="84"/>
      <c r="Q141" s="89"/>
      <c r="R141" s="89"/>
    </row>
    <row r="142" spans="4:18" ht="16.2" thickBot="1" x14ac:dyDescent="0.35">
      <c r="D142" s="82" t="s">
        <v>71</v>
      </c>
      <c r="E142" s="83" t="s">
        <v>447</v>
      </c>
      <c r="F142" s="83">
        <v>8.82</v>
      </c>
      <c r="G142" s="83"/>
      <c r="H142" s="83"/>
      <c r="I142" s="84" t="s">
        <v>71</v>
      </c>
      <c r="J142" s="84" t="s">
        <v>448</v>
      </c>
      <c r="K142" s="84">
        <v>8.2899999999999991</v>
      </c>
      <c r="L142" s="84"/>
      <c r="M142" s="84"/>
      <c r="N142" s="84"/>
      <c r="O142" s="84"/>
      <c r="P142" s="84"/>
      <c r="Q142" s="89"/>
      <c r="R142" s="89"/>
    </row>
    <row r="143" spans="4:18" ht="16.2" thickBot="1" x14ac:dyDescent="0.35">
      <c r="D143" s="82" t="s">
        <v>71</v>
      </c>
      <c r="E143" s="83" t="s">
        <v>449</v>
      </c>
      <c r="F143" s="83">
        <v>10</v>
      </c>
      <c r="G143" s="83"/>
      <c r="H143" s="83"/>
      <c r="I143" s="84" t="s">
        <v>71</v>
      </c>
      <c r="J143" s="84" t="s">
        <v>450</v>
      </c>
      <c r="K143" s="84">
        <v>10</v>
      </c>
      <c r="L143" s="84"/>
      <c r="M143" s="84"/>
      <c r="N143" s="84"/>
      <c r="O143" s="84"/>
      <c r="P143" s="84"/>
      <c r="Q143" s="89"/>
      <c r="R143" s="89"/>
    </row>
    <row r="144" spans="4:18" ht="16.2" thickBot="1" x14ac:dyDescent="0.35">
      <c r="D144" s="82" t="s">
        <v>71</v>
      </c>
      <c r="E144" s="83" t="s">
        <v>451</v>
      </c>
      <c r="F144" s="83">
        <v>7.47</v>
      </c>
      <c r="G144" s="83"/>
      <c r="H144" s="83"/>
      <c r="I144" s="84" t="s">
        <v>71</v>
      </c>
      <c r="J144" s="84" t="s">
        <v>452</v>
      </c>
      <c r="K144" s="84">
        <v>10</v>
      </c>
      <c r="L144" s="84"/>
      <c r="M144" s="84"/>
      <c r="N144" s="84"/>
      <c r="O144" s="84"/>
      <c r="P144" s="84"/>
      <c r="Q144" s="89"/>
      <c r="R144" s="89"/>
    </row>
    <row r="145" spans="4:18" ht="16.2" thickBot="1" x14ac:dyDescent="0.35">
      <c r="D145" s="82" t="s">
        <v>71</v>
      </c>
      <c r="E145" s="83" t="s">
        <v>453</v>
      </c>
      <c r="F145" s="83">
        <v>10</v>
      </c>
      <c r="G145" s="83"/>
      <c r="H145" s="83"/>
      <c r="I145" s="84" t="s">
        <v>71</v>
      </c>
      <c r="J145" s="84" t="s">
        <v>454</v>
      </c>
      <c r="K145" s="84">
        <v>7.1</v>
      </c>
      <c r="L145" s="84"/>
      <c r="M145" s="84"/>
      <c r="N145" s="84"/>
      <c r="O145" s="84"/>
      <c r="P145" s="84"/>
      <c r="Q145" s="89"/>
      <c r="R145" s="89"/>
    </row>
    <row r="146" spans="4:18" ht="16.2" thickBot="1" x14ac:dyDescent="0.35">
      <c r="D146" s="82" t="s">
        <v>71</v>
      </c>
      <c r="E146" s="83" t="s">
        <v>455</v>
      </c>
      <c r="F146" s="83">
        <v>8.1999999999999993</v>
      </c>
      <c r="G146" s="83"/>
      <c r="H146" s="83"/>
      <c r="I146" s="84" t="s">
        <v>71</v>
      </c>
      <c r="J146" s="84" t="s">
        <v>456</v>
      </c>
      <c r="K146" s="84">
        <v>9.64</v>
      </c>
      <c r="L146" s="84"/>
      <c r="M146" s="84"/>
      <c r="N146" s="84"/>
      <c r="O146" s="84"/>
      <c r="P146" s="84"/>
      <c r="Q146" s="89"/>
      <c r="R146" s="89"/>
    </row>
    <row r="147" spans="4:18" x14ac:dyDescent="0.3">
      <c r="E147">
        <f>SUM(F100:F146)</f>
        <v>396.52</v>
      </c>
      <c r="F147">
        <f>SUM(I100:I146)</f>
        <v>0</v>
      </c>
      <c r="I147">
        <f t="shared" ref="I147:O147" si="6">SUM(J100:J146)</f>
        <v>0</v>
      </c>
      <c r="J147">
        <f>SUM(K100:K146)</f>
        <v>374.66999999999996</v>
      </c>
      <c r="K147">
        <f>SUM(N100:N146)</f>
        <v>0</v>
      </c>
      <c r="N147">
        <f t="shared" si="6"/>
        <v>0</v>
      </c>
      <c r="O147">
        <f t="shared" si="6"/>
        <v>112.86</v>
      </c>
      <c r="P147">
        <f>SUM(S107:S153)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"/>
  <sheetViews>
    <sheetView workbookViewId="0">
      <selection activeCell="D2" sqref="D2"/>
    </sheetView>
  </sheetViews>
  <sheetFormatPr defaultRowHeight="14.4" x14ac:dyDescent="0.3"/>
  <sheetData>
    <row r="2" spans="1:8" x14ac:dyDescent="0.3">
      <c r="D2" t="s">
        <v>43</v>
      </c>
    </row>
    <row r="3" spans="1:8" ht="15" thickBot="1" x14ac:dyDescent="0.35"/>
    <row r="4" spans="1:8" ht="42" thickBot="1" x14ac:dyDescent="0.35">
      <c r="A4" s="48" t="s">
        <v>19</v>
      </c>
      <c r="B4" s="9" t="s">
        <v>20</v>
      </c>
      <c r="C4" s="42" t="s">
        <v>21</v>
      </c>
      <c r="D4" s="43"/>
      <c r="E4" s="44"/>
      <c r="F4" s="42" t="s">
        <v>22</v>
      </c>
      <c r="G4" s="43"/>
      <c r="H4" s="44"/>
    </row>
    <row r="5" spans="1:8" ht="93.6" x14ac:dyDescent="0.3">
      <c r="A5" s="50"/>
      <c r="B5" s="46"/>
      <c r="C5" s="10" t="s">
        <v>23</v>
      </c>
      <c r="D5" s="10" t="s">
        <v>25</v>
      </c>
      <c r="E5" s="10" t="s">
        <v>27</v>
      </c>
      <c r="F5" s="10" t="s">
        <v>23</v>
      </c>
      <c r="G5" s="10" t="s">
        <v>25</v>
      </c>
      <c r="H5" s="10" t="s">
        <v>27</v>
      </c>
    </row>
    <row r="6" spans="1:8" ht="16.8" thickBot="1" x14ac:dyDescent="0.35">
      <c r="A6" s="49"/>
      <c r="B6" s="47"/>
      <c r="C6" s="11" t="s">
        <v>24</v>
      </c>
      <c r="D6" s="11" t="s">
        <v>26</v>
      </c>
      <c r="E6" s="11" t="s">
        <v>28</v>
      </c>
      <c r="F6" s="11" t="s">
        <v>24</v>
      </c>
      <c r="G6" s="11" t="s">
        <v>26</v>
      </c>
      <c r="H6" s="11" t="s">
        <v>28</v>
      </c>
    </row>
    <row r="7" spans="1:8" ht="71.400000000000006" customHeight="1" thickBot="1" x14ac:dyDescent="0.35">
      <c r="A7" s="48" t="s">
        <v>29</v>
      </c>
      <c r="B7" s="2" t="s">
        <v>30</v>
      </c>
      <c r="C7" s="2">
        <v>5.5</v>
      </c>
      <c r="D7" s="2">
        <v>2.9</v>
      </c>
      <c r="E7" s="2">
        <v>0.89</v>
      </c>
      <c r="F7" s="2">
        <v>6</v>
      </c>
      <c r="G7" s="2">
        <v>2.54</v>
      </c>
      <c r="H7" s="2">
        <v>0.89</v>
      </c>
    </row>
    <row r="8" spans="1:8" ht="18.600000000000001" thickBot="1" x14ac:dyDescent="0.35">
      <c r="A8" s="49"/>
      <c r="B8" s="2" t="s">
        <v>31</v>
      </c>
      <c r="C8" s="2">
        <v>7.3</v>
      </c>
      <c r="D8" s="2">
        <v>2.5</v>
      </c>
      <c r="E8" s="2">
        <v>0.75</v>
      </c>
      <c r="F8" s="2">
        <v>8</v>
      </c>
      <c r="G8" s="2">
        <v>2.27</v>
      </c>
      <c r="H8" s="2">
        <v>0.71</v>
      </c>
    </row>
    <row r="9" spans="1:8" ht="71.400000000000006" customHeight="1" thickBot="1" x14ac:dyDescent="0.35">
      <c r="A9" s="48" t="s">
        <v>32</v>
      </c>
      <c r="B9" s="2" t="s">
        <v>30</v>
      </c>
      <c r="C9" s="2">
        <v>6.4</v>
      </c>
      <c r="D9" s="2">
        <v>2.78</v>
      </c>
      <c r="E9" s="2">
        <v>0.91</v>
      </c>
      <c r="F9" s="2">
        <v>6.6</v>
      </c>
      <c r="G9" s="2">
        <v>2.31</v>
      </c>
      <c r="H9" s="2">
        <v>0.76</v>
      </c>
    </row>
    <row r="10" spans="1:8" ht="18.600000000000001" thickBot="1" x14ac:dyDescent="0.35">
      <c r="A10" s="49"/>
      <c r="B10" s="2" t="s">
        <v>31</v>
      </c>
      <c r="C10" s="2">
        <v>8.1999999999999993</v>
      </c>
      <c r="D10" s="2">
        <v>1.78</v>
      </c>
      <c r="E10" s="2">
        <v>0.56999999999999995</v>
      </c>
      <c r="F10" s="2">
        <v>8.6</v>
      </c>
      <c r="G10" s="2">
        <v>1.69</v>
      </c>
      <c r="H10" s="2">
        <v>0.56000000000000005</v>
      </c>
    </row>
  </sheetData>
  <mergeCells count="6">
    <mergeCell ref="A9:A10"/>
    <mergeCell ref="A4:A6"/>
    <mergeCell ref="C4:E4"/>
    <mergeCell ref="F4:H4"/>
    <mergeCell ref="B5:B6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9"/>
  <sheetViews>
    <sheetView topLeftCell="A4" zoomScale="70" zoomScaleNormal="70" workbookViewId="0">
      <selection activeCell="J5" sqref="J5"/>
    </sheetView>
  </sheetViews>
  <sheetFormatPr defaultRowHeight="14.4" x14ac:dyDescent="0.3"/>
  <cols>
    <col min="1" max="1" width="9.5546875" customWidth="1"/>
    <col min="2" max="2" width="16.21875" customWidth="1"/>
    <col min="3" max="3" width="16.6640625" customWidth="1"/>
    <col min="4" max="4" width="17.21875" customWidth="1"/>
    <col min="5" max="5" width="16.33203125" customWidth="1"/>
    <col min="6" max="6" width="17.33203125" customWidth="1"/>
    <col min="7" max="7" width="13.5546875" customWidth="1"/>
  </cols>
  <sheetData>
    <row r="2" spans="1:7" x14ac:dyDescent="0.3">
      <c r="D2" t="s">
        <v>44</v>
      </c>
    </row>
    <row r="3" spans="1:7" ht="15" thickBot="1" x14ac:dyDescent="0.35"/>
    <row r="4" spans="1:7" ht="18.600000000000001" thickBot="1" x14ac:dyDescent="0.35">
      <c r="A4" s="46" t="s">
        <v>19</v>
      </c>
      <c r="B4" s="42" t="s">
        <v>33</v>
      </c>
      <c r="C4" s="43"/>
      <c r="D4" s="43"/>
      <c r="E4" s="43"/>
      <c r="F4" s="43"/>
      <c r="G4" s="44"/>
    </row>
    <row r="5" spans="1:7" ht="34.799999999999997" customHeight="1" thickBot="1" x14ac:dyDescent="0.35">
      <c r="A5" s="53"/>
      <c r="B5" s="42" t="s">
        <v>34</v>
      </c>
      <c r="C5" s="44"/>
      <c r="D5" s="42" t="s">
        <v>35</v>
      </c>
      <c r="E5" s="44"/>
      <c r="F5" s="42" t="s">
        <v>36</v>
      </c>
      <c r="G5" s="44"/>
    </row>
    <row r="6" spans="1:7" ht="56.4" customHeight="1" thickBot="1" x14ac:dyDescent="0.35">
      <c r="A6" s="47"/>
      <c r="B6" s="12"/>
      <c r="C6" s="12"/>
      <c r="D6" s="12"/>
      <c r="E6" s="12"/>
      <c r="F6" s="12"/>
      <c r="G6" s="12"/>
    </row>
    <row r="7" spans="1:7" ht="54.6" thickBot="1" x14ac:dyDescent="0.35">
      <c r="A7" s="4" t="s">
        <v>37</v>
      </c>
      <c r="B7" s="2">
        <v>1.36</v>
      </c>
      <c r="C7" s="2">
        <v>0.83</v>
      </c>
      <c r="D7" s="2">
        <v>1.27</v>
      </c>
      <c r="E7" s="2">
        <v>0.98</v>
      </c>
      <c r="F7" s="2">
        <v>1.36</v>
      </c>
      <c r="G7" s="2">
        <v>0.84</v>
      </c>
    </row>
    <row r="8" spans="1:7" ht="54.6" thickBot="1" x14ac:dyDescent="0.35">
      <c r="A8" s="4" t="s">
        <v>38</v>
      </c>
      <c r="B8" s="2">
        <v>1.31</v>
      </c>
      <c r="C8" s="2">
        <v>0.66</v>
      </c>
      <c r="D8" s="2">
        <v>1.24</v>
      </c>
      <c r="E8" s="2">
        <v>0.66</v>
      </c>
      <c r="F8" s="2">
        <v>1.33</v>
      </c>
      <c r="G8" s="2">
        <v>0.75</v>
      </c>
    </row>
    <row r="12" spans="1:7" ht="15" thickBot="1" x14ac:dyDescent="0.35"/>
    <row r="13" spans="1:7" ht="36.6" customHeight="1" thickBot="1" x14ac:dyDescent="0.35">
      <c r="A13" s="13" t="s">
        <v>19</v>
      </c>
      <c r="B13" s="42" t="s">
        <v>33</v>
      </c>
      <c r="C13" s="43"/>
      <c r="D13" s="43"/>
      <c r="E13" s="43"/>
      <c r="F13" s="43"/>
      <c r="G13" s="44"/>
    </row>
    <row r="14" spans="1:7" ht="18.600000000000001" thickBot="1" x14ac:dyDescent="0.35">
      <c r="A14" s="14"/>
      <c r="B14" s="42" t="s">
        <v>34</v>
      </c>
      <c r="C14" s="44"/>
      <c r="D14" s="42" t="s">
        <v>35</v>
      </c>
      <c r="E14" s="44"/>
      <c r="F14" s="42" t="s">
        <v>36</v>
      </c>
      <c r="G14" s="44"/>
    </row>
    <row r="15" spans="1:7" ht="54.6" thickBot="1" x14ac:dyDescent="0.35">
      <c r="A15" s="4" t="s">
        <v>37</v>
      </c>
      <c r="B15" s="2">
        <v>1.36</v>
      </c>
      <c r="C15" s="2">
        <v>0.83</v>
      </c>
      <c r="D15" s="2">
        <v>1.27</v>
      </c>
      <c r="E15" s="2">
        <v>0.98</v>
      </c>
      <c r="F15" s="2">
        <v>1.36</v>
      </c>
      <c r="G15" s="2">
        <v>0.84</v>
      </c>
    </row>
    <row r="16" spans="1:7" ht="54.6" thickBot="1" x14ac:dyDescent="0.35">
      <c r="A16" s="4" t="s">
        <v>38</v>
      </c>
      <c r="B16" s="2">
        <v>1.31</v>
      </c>
      <c r="C16" s="2">
        <v>0.66</v>
      </c>
      <c r="D16" s="2">
        <v>1.24</v>
      </c>
      <c r="E16" s="2">
        <v>0.66</v>
      </c>
      <c r="F16" s="2">
        <v>1.33</v>
      </c>
      <c r="G16" s="2">
        <v>0.75</v>
      </c>
    </row>
    <row r="17" spans="1:7" ht="18" x14ac:dyDescent="0.3">
      <c r="A17" s="15"/>
      <c r="B17" s="15"/>
      <c r="C17" s="15"/>
      <c r="D17" s="15"/>
      <c r="E17" s="15"/>
      <c r="F17" s="15"/>
      <c r="G17" s="15"/>
    </row>
    <row r="18" spans="1:7" ht="18" x14ac:dyDescent="0.3">
      <c r="A18" s="15"/>
      <c r="B18" s="15"/>
      <c r="C18" s="15"/>
      <c r="D18" s="15"/>
      <c r="E18" s="15"/>
      <c r="F18" s="15"/>
      <c r="G18" s="15"/>
    </row>
    <row r="19" spans="1:7" ht="18" x14ac:dyDescent="0.3">
      <c r="A19" s="15"/>
      <c r="B19" s="15"/>
      <c r="C19" s="15"/>
      <c r="D19" s="15"/>
      <c r="E19" s="15"/>
      <c r="F19" s="15"/>
      <c r="G19" s="15"/>
    </row>
    <row r="20" spans="1:7" ht="18" x14ac:dyDescent="0.3">
      <c r="A20" s="15"/>
      <c r="B20" s="15"/>
      <c r="C20" s="15"/>
      <c r="D20" s="15"/>
      <c r="E20" s="15"/>
      <c r="F20" s="15"/>
      <c r="G20" s="15"/>
    </row>
    <row r="21" spans="1:7" x14ac:dyDescent="0.3">
      <c r="A21" s="16"/>
      <c r="B21" s="16"/>
      <c r="C21" s="52" t="s">
        <v>39</v>
      </c>
      <c r="D21" s="52"/>
      <c r="E21" s="51" t="s">
        <v>40</v>
      </c>
      <c r="F21" s="51"/>
    </row>
    <row r="22" spans="1:7" ht="18" customHeight="1" x14ac:dyDescent="0.3">
      <c r="A22" s="18" t="s">
        <v>34</v>
      </c>
      <c r="B22" s="18" t="s">
        <v>34</v>
      </c>
      <c r="C22" s="17">
        <v>1.36</v>
      </c>
      <c r="D22" s="17">
        <v>0.83</v>
      </c>
      <c r="E22" s="17">
        <v>1.31</v>
      </c>
      <c r="F22" s="17">
        <v>0.66</v>
      </c>
    </row>
    <row r="23" spans="1:7" ht="18" customHeight="1" x14ac:dyDescent="0.3">
      <c r="A23" s="18" t="s">
        <v>35</v>
      </c>
      <c r="B23" s="18" t="s">
        <v>35</v>
      </c>
      <c r="C23" s="17">
        <v>1.27</v>
      </c>
      <c r="D23" s="17">
        <v>0.98</v>
      </c>
      <c r="E23" s="17">
        <v>1.24</v>
      </c>
      <c r="F23" s="17">
        <v>0.66</v>
      </c>
    </row>
    <row r="24" spans="1:7" ht="18" customHeight="1" x14ac:dyDescent="0.3">
      <c r="A24" s="18" t="s">
        <v>36</v>
      </c>
      <c r="B24" s="18" t="s">
        <v>36</v>
      </c>
      <c r="C24" s="17">
        <v>1.36</v>
      </c>
      <c r="D24" s="17">
        <v>0.84</v>
      </c>
      <c r="E24" s="17">
        <v>1.33</v>
      </c>
      <c r="F24" s="17">
        <v>0.75</v>
      </c>
    </row>
    <row r="38" ht="36" customHeight="1" x14ac:dyDescent="0.3"/>
    <row r="39" ht="64.2" customHeight="1" x14ac:dyDescent="0.3"/>
  </sheetData>
  <mergeCells count="11">
    <mergeCell ref="B13:G13"/>
    <mergeCell ref="A4:A6"/>
    <mergeCell ref="B4:G4"/>
    <mergeCell ref="B5:C5"/>
    <mergeCell ref="D5:E5"/>
    <mergeCell ref="F5:G5"/>
    <mergeCell ref="E21:F21"/>
    <mergeCell ref="C21:D21"/>
    <mergeCell ref="B14:C14"/>
    <mergeCell ref="D14:E14"/>
    <mergeCell ref="F14:G1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102" r:id="rId3">
          <objectPr defaultSize="0" autoPict="0" r:id="rId4">
            <anchor moveWithCells="1" sizeWithCells="1">
              <from>
                <xdr:col>1</xdr:col>
                <xdr:colOff>0</xdr:colOff>
                <xdr:row>5</xdr:row>
                <xdr:rowOff>0</xdr:rowOff>
              </from>
              <to>
                <xdr:col>2</xdr:col>
                <xdr:colOff>0</xdr:colOff>
                <xdr:row>5</xdr:row>
                <xdr:rowOff>617220</xdr:rowOff>
              </to>
            </anchor>
          </objectPr>
        </oleObject>
      </mc:Choice>
      <mc:Fallback>
        <oleObject progId="Equation.3" shapeId="4102" r:id="rId3"/>
      </mc:Fallback>
    </mc:AlternateContent>
    <mc:AlternateContent xmlns:mc="http://schemas.openxmlformats.org/markup-compatibility/2006">
      <mc:Choice Requires="x14">
        <oleObject progId="Equation.3" shapeId="4101" r:id="rId5">
          <objectPr defaultSize="0" autoPict="0" r:id="rId6">
            <anchor moveWithCells="1" sizeWithCells="1">
              <from>
                <xdr:col>2</xdr:col>
                <xdr:colOff>106680</xdr:colOff>
                <xdr:row>5</xdr:row>
                <xdr:rowOff>53340</xdr:rowOff>
              </from>
              <to>
                <xdr:col>2</xdr:col>
                <xdr:colOff>1074420</xdr:colOff>
                <xdr:row>5</xdr:row>
                <xdr:rowOff>731520</xdr:rowOff>
              </to>
            </anchor>
          </objectPr>
        </oleObject>
      </mc:Choice>
      <mc:Fallback>
        <oleObject progId="Equation.3" shapeId="4101" r:id="rId5"/>
      </mc:Fallback>
    </mc:AlternateContent>
    <mc:AlternateContent xmlns:mc="http://schemas.openxmlformats.org/markup-compatibility/2006">
      <mc:Choice Requires="x14">
        <oleObject progId="Equation.3" shapeId="4100" r:id="rId7">
          <objectPr defaultSize="0" autoPict="0" r:id="rId8">
            <anchor moveWithCells="1" sizeWithCells="1">
              <from>
                <xdr:col>3</xdr:col>
                <xdr:colOff>0</xdr:colOff>
                <xdr:row>5</xdr:row>
                <xdr:rowOff>0</xdr:rowOff>
              </from>
              <to>
                <xdr:col>3</xdr:col>
                <xdr:colOff>1135380</xdr:colOff>
                <xdr:row>5</xdr:row>
                <xdr:rowOff>670560</xdr:rowOff>
              </to>
            </anchor>
          </objectPr>
        </oleObject>
      </mc:Choice>
      <mc:Fallback>
        <oleObject progId="Equation.3" shapeId="4100" r:id="rId7"/>
      </mc:Fallback>
    </mc:AlternateContent>
    <mc:AlternateContent xmlns:mc="http://schemas.openxmlformats.org/markup-compatibility/2006">
      <mc:Choice Requires="x14">
        <oleObject progId="Equation.3" shapeId="4099" r:id="rId9">
          <objectPr defaultSize="0" autoPict="0" r:id="rId10">
            <anchor moveWithCells="1" sizeWithCells="1">
              <from>
                <xdr:col>4</xdr:col>
                <xdr:colOff>0</xdr:colOff>
                <xdr:row>5</xdr:row>
                <xdr:rowOff>0</xdr:rowOff>
              </from>
              <to>
                <xdr:col>4</xdr:col>
                <xdr:colOff>944880</xdr:colOff>
                <xdr:row>5</xdr:row>
                <xdr:rowOff>731520</xdr:rowOff>
              </to>
            </anchor>
          </objectPr>
        </oleObject>
      </mc:Choice>
      <mc:Fallback>
        <oleObject progId="Equation.3" shapeId="4099" r:id="rId9"/>
      </mc:Fallback>
    </mc:AlternateContent>
    <mc:AlternateContent xmlns:mc="http://schemas.openxmlformats.org/markup-compatibility/2006">
      <mc:Choice Requires="x14">
        <oleObject progId="Equation.3" shapeId="4098" r:id="rId11">
          <objectPr defaultSize="0" autoPict="0" r:id="rId12">
            <anchor moveWithCells="1" siz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1013460</xdr:colOff>
                <xdr:row>5</xdr:row>
                <xdr:rowOff>678180</xdr:rowOff>
              </to>
            </anchor>
          </objectPr>
        </oleObject>
      </mc:Choice>
      <mc:Fallback>
        <oleObject progId="Equation.3" shapeId="4098" r:id="rId11"/>
      </mc:Fallback>
    </mc:AlternateContent>
    <mc:AlternateContent xmlns:mc="http://schemas.openxmlformats.org/markup-compatibility/2006">
      <mc:Choice Requires="x14">
        <oleObject progId="Equation.3" shapeId="4097" r:id="rId13">
          <objectPr defaultSize="0" autoPict="0" r:id="rId14">
            <anchor moveWithCells="1" sizeWithCells="1">
              <from>
                <xdr:col>6</xdr:col>
                <xdr:colOff>0</xdr:colOff>
                <xdr:row>5</xdr:row>
                <xdr:rowOff>0</xdr:rowOff>
              </from>
              <to>
                <xdr:col>6</xdr:col>
                <xdr:colOff>868680</xdr:colOff>
                <xdr:row>5</xdr:row>
                <xdr:rowOff>754380</xdr:rowOff>
              </to>
            </anchor>
          </objectPr>
        </oleObject>
      </mc:Choice>
      <mc:Fallback>
        <oleObject progId="Equation.3" shapeId="4097" r:id="rId1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1"/>
  <sheetViews>
    <sheetView topLeftCell="C1" workbookViewId="0">
      <selection activeCell="I8" sqref="I8"/>
    </sheetView>
  </sheetViews>
  <sheetFormatPr defaultRowHeight="14.4" x14ac:dyDescent="0.3"/>
  <cols>
    <col min="2" max="2" width="11.109375" customWidth="1"/>
    <col min="13" max="13" width="4.33203125" customWidth="1"/>
  </cols>
  <sheetData>
    <row r="3" spans="2:13" x14ac:dyDescent="0.3">
      <c r="F3" t="s">
        <v>45</v>
      </c>
    </row>
    <row r="4" spans="2:13" ht="18.600000000000001" thickBot="1" x14ac:dyDescent="0.35">
      <c r="B4" s="19"/>
    </row>
    <row r="5" spans="2:13" ht="18.600000000000001" customHeight="1" thickBot="1" x14ac:dyDescent="0.35">
      <c r="B5" s="46" t="s">
        <v>46</v>
      </c>
      <c r="C5" s="42" t="s">
        <v>47</v>
      </c>
      <c r="D5" s="43"/>
      <c r="E5" s="43"/>
      <c r="F5" s="43"/>
      <c r="G5" s="43"/>
      <c r="H5" s="42" t="s">
        <v>48</v>
      </c>
      <c r="I5" s="43"/>
      <c r="J5" s="43"/>
      <c r="K5" s="43"/>
      <c r="L5" s="54"/>
      <c r="M5" s="26"/>
    </row>
    <row r="6" spans="2:13" ht="18.600000000000001" customHeight="1" thickBot="1" x14ac:dyDescent="0.35">
      <c r="B6" s="53"/>
      <c r="C6" s="48" t="s">
        <v>5</v>
      </c>
      <c r="D6" s="42" t="s">
        <v>49</v>
      </c>
      <c r="E6" s="43"/>
      <c r="F6" s="43"/>
      <c r="G6" s="43"/>
      <c r="H6" s="55" t="s">
        <v>5</v>
      </c>
      <c r="I6" s="42" t="s">
        <v>49</v>
      </c>
      <c r="J6" s="43"/>
      <c r="K6" s="43"/>
      <c r="L6" s="54"/>
      <c r="M6" s="27"/>
    </row>
    <row r="7" spans="2:13" ht="54" customHeight="1" thickBot="1" x14ac:dyDescent="0.35">
      <c r="B7" s="47"/>
      <c r="C7" s="49"/>
      <c r="D7" s="20" t="s">
        <v>50</v>
      </c>
      <c r="E7" s="20" t="s">
        <v>51</v>
      </c>
      <c r="F7" s="20" t="s">
        <v>52</v>
      </c>
      <c r="G7" s="28" t="s">
        <v>53</v>
      </c>
      <c r="H7" s="56"/>
      <c r="I7" s="29" t="s">
        <v>50</v>
      </c>
      <c r="J7" s="29" t="s">
        <v>51</v>
      </c>
      <c r="K7" s="29" t="s">
        <v>52</v>
      </c>
      <c r="L7" s="29" t="s">
        <v>53</v>
      </c>
      <c r="M7" s="21"/>
    </row>
    <row r="8" spans="2:13" ht="35.4" thickBot="1" x14ac:dyDescent="0.35">
      <c r="B8" s="25" t="s">
        <v>54</v>
      </c>
      <c r="C8" s="2">
        <v>26</v>
      </c>
      <c r="D8" s="2">
        <v>4</v>
      </c>
      <c r="E8" s="2">
        <v>12</v>
      </c>
      <c r="F8" s="2">
        <v>6</v>
      </c>
      <c r="G8" s="2">
        <v>6</v>
      </c>
      <c r="H8" s="2">
        <v>28</v>
      </c>
      <c r="I8" s="2">
        <v>3</v>
      </c>
      <c r="J8" s="2">
        <v>11</v>
      </c>
      <c r="K8" s="2">
        <v>12</v>
      </c>
      <c r="L8" s="23"/>
      <c r="M8" s="21"/>
    </row>
    <row r="9" spans="2:13" ht="35.4" thickBot="1" x14ac:dyDescent="0.35">
      <c r="B9" s="25" t="s">
        <v>8</v>
      </c>
      <c r="C9" s="2">
        <v>25</v>
      </c>
      <c r="D9" s="2">
        <v>3</v>
      </c>
      <c r="E9" s="2">
        <v>10</v>
      </c>
      <c r="F9" s="2">
        <v>8</v>
      </c>
      <c r="G9" s="2">
        <v>4</v>
      </c>
      <c r="H9" s="2">
        <v>26</v>
      </c>
      <c r="I9" s="2">
        <v>2</v>
      </c>
      <c r="J9" s="2">
        <v>11</v>
      </c>
      <c r="K9" s="2">
        <v>13</v>
      </c>
      <c r="L9" s="23"/>
      <c r="M9" s="21"/>
    </row>
    <row r="10" spans="2:13" ht="18.600000000000001" thickBot="1" x14ac:dyDescent="0.35">
      <c r="B10" s="22"/>
      <c r="C10" s="2">
        <f>C8+C9</f>
        <v>51</v>
      </c>
      <c r="D10" s="2">
        <f t="shared" ref="D10:K10" si="0">D8+D9</f>
        <v>7</v>
      </c>
      <c r="E10" s="2">
        <f t="shared" si="0"/>
        <v>22</v>
      </c>
      <c r="F10" s="2">
        <f t="shared" si="0"/>
        <v>14</v>
      </c>
      <c r="G10" s="2">
        <f t="shared" si="0"/>
        <v>10</v>
      </c>
      <c r="H10" s="2">
        <f t="shared" si="0"/>
        <v>54</v>
      </c>
      <c r="I10" s="2">
        <f t="shared" si="0"/>
        <v>5</v>
      </c>
      <c r="J10" s="2">
        <f t="shared" si="0"/>
        <v>22</v>
      </c>
      <c r="K10" s="2">
        <f t="shared" si="0"/>
        <v>25</v>
      </c>
      <c r="L10" s="2"/>
      <c r="M10" s="21"/>
    </row>
    <row r="11" spans="2:13" ht="18" x14ac:dyDescent="0.3">
      <c r="B11" s="24"/>
    </row>
  </sheetData>
  <mergeCells count="7">
    <mergeCell ref="I6:L6"/>
    <mergeCell ref="H5:L5"/>
    <mergeCell ref="B5:B7"/>
    <mergeCell ref="C5:G5"/>
    <mergeCell ref="C6:C7"/>
    <mergeCell ref="D6:G6"/>
    <mergeCell ref="H6:H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2"/>
  <sheetViews>
    <sheetView zoomScale="85" zoomScaleNormal="85" workbookViewId="0">
      <selection activeCell="B7" sqref="B7:L12"/>
    </sheetView>
  </sheetViews>
  <sheetFormatPr defaultRowHeight="14.4" x14ac:dyDescent="0.3"/>
  <sheetData>
    <row r="4" spans="2:12" ht="18" x14ac:dyDescent="0.35">
      <c r="C4" s="30" t="s">
        <v>55</v>
      </c>
    </row>
    <row r="6" spans="2:12" ht="15" thickBot="1" x14ac:dyDescent="0.35"/>
    <row r="7" spans="2:12" ht="31.8" customHeight="1" thickBot="1" x14ac:dyDescent="0.35">
      <c r="B7" s="46" t="s">
        <v>46</v>
      </c>
      <c r="C7" s="42" t="s">
        <v>47</v>
      </c>
      <c r="D7" s="43"/>
      <c r="E7" s="43"/>
      <c r="F7" s="43"/>
      <c r="G7" s="44"/>
      <c r="H7" s="57" t="s">
        <v>48</v>
      </c>
      <c r="I7" s="58"/>
      <c r="J7" s="58"/>
      <c r="K7" s="58"/>
      <c r="L7" s="59"/>
    </row>
    <row r="8" spans="2:12" ht="30" customHeight="1" thickBot="1" x14ac:dyDescent="0.35">
      <c r="B8" s="53"/>
      <c r="C8" s="48" t="s">
        <v>5</v>
      </c>
      <c r="D8" s="42" t="s">
        <v>49</v>
      </c>
      <c r="E8" s="43"/>
      <c r="F8" s="43"/>
      <c r="G8" s="44"/>
      <c r="H8" s="48" t="s">
        <v>5</v>
      </c>
      <c r="I8" s="42" t="s">
        <v>49</v>
      </c>
      <c r="J8" s="43"/>
      <c r="K8" s="43"/>
      <c r="L8" s="44"/>
    </row>
    <row r="9" spans="2:12" ht="58.8" customHeight="1" thickBot="1" x14ac:dyDescent="0.35">
      <c r="B9" s="47"/>
      <c r="C9" s="49"/>
      <c r="D9" s="20" t="s">
        <v>50</v>
      </c>
      <c r="E9" s="20" t="s">
        <v>51</v>
      </c>
      <c r="F9" s="20" t="s">
        <v>52</v>
      </c>
      <c r="G9" s="20" t="s">
        <v>53</v>
      </c>
      <c r="H9" s="49"/>
      <c r="I9" s="20" t="s">
        <v>50</v>
      </c>
      <c r="J9" s="20" t="s">
        <v>51</v>
      </c>
      <c r="K9" s="20" t="s">
        <v>52</v>
      </c>
      <c r="L9" s="20" t="s">
        <v>53</v>
      </c>
    </row>
    <row r="10" spans="2:12" ht="35.4" thickBot="1" x14ac:dyDescent="0.35">
      <c r="B10" s="25" t="s">
        <v>54</v>
      </c>
      <c r="C10" s="2">
        <v>26</v>
      </c>
      <c r="D10" s="2">
        <v>4</v>
      </c>
      <c r="E10" s="2">
        <v>12</v>
      </c>
      <c r="F10" s="2">
        <v>6</v>
      </c>
      <c r="G10" s="2">
        <v>6</v>
      </c>
      <c r="H10" s="2">
        <v>28</v>
      </c>
      <c r="I10" s="2">
        <v>3</v>
      </c>
      <c r="J10" s="2">
        <v>11</v>
      </c>
      <c r="K10" s="2">
        <v>12</v>
      </c>
      <c r="L10" s="2"/>
    </row>
    <row r="11" spans="2:12" ht="35.4" thickBot="1" x14ac:dyDescent="0.35">
      <c r="B11" s="25" t="s">
        <v>8</v>
      </c>
      <c r="C11" s="2">
        <v>25</v>
      </c>
      <c r="D11" s="2">
        <v>3</v>
      </c>
      <c r="E11" s="2">
        <v>10</v>
      </c>
      <c r="F11" s="2">
        <v>8</v>
      </c>
      <c r="G11" s="2">
        <v>4</v>
      </c>
      <c r="H11" s="2">
        <v>26</v>
      </c>
      <c r="I11" s="2">
        <v>2</v>
      </c>
      <c r="J11" s="2">
        <v>11</v>
      </c>
      <c r="K11" s="2">
        <v>13</v>
      </c>
      <c r="L11" s="2"/>
    </row>
    <row r="12" spans="2:12" ht="18.600000000000001" thickBot="1" x14ac:dyDescent="0.35">
      <c r="B12" s="25"/>
      <c r="C12" s="2">
        <f>C10+C11</f>
        <v>51</v>
      </c>
      <c r="D12" s="2">
        <f t="shared" ref="D12:K12" si="0">D10+D11</f>
        <v>7</v>
      </c>
      <c r="E12" s="2">
        <f t="shared" si="0"/>
        <v>22</v>
      </c>
      <c r="F12" s="2">
        <f t="shared" si="0"/>
        <v>14</v>
      </c>
      <c r="G12" s="2">
        <f t="shared" si="0"/>
        <v>10</v>
      </c>
      <c r="H12" s="2">
        <f t="shared" si="0"/>
        <v>54</v>
      </c>
      <c r="I12" s="2">
        <f t="shared" si="0"/>
        <v>5</v>
      </c>
      <c r="J12" s="2">
        <f t="shared" si="0"/>
        <v>22</v>
      </c>
      <c r="K12" s="2">
        <f t="shared" si="0"/>
        <v>25</v>
      </c>
      <c r="L12" s="2"/>
    </row>
  </sheetData>
  <mergeCells count="7">
    <mergeCell ref="B7:B9"/>
    <mergeCell ref="C7:G7"/>
    <mergeCell ref="H7:L7"/>
    <mergeCell ref="C8:C9"/>
    <mergeCell ref="D8:G8"/>
    <mergeCell ref="H8:H9"/>
    <mergeCell ref="I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9"/>
  <sheetViews>
    <sheetView topLeftCell="B1" workbookViewId="0">
      <selection activeCell="F8" sqref="C8:F8"/>
    </sheetView>
  </sheetViews>
  <sheetFormatPr defaultRowHeight="14.4" x14ac:dyDescent="0.3"/>
  <sheetData>
    <row r="2" spans="3:13" ht="18" x14ac:dyDescent="0.35">
      <c r="D2" s="30" t="s">
        <v>56</v>
      </c>
    </row>
    <row r="3" spans="3:13" ht="15" thickBot="1" x14ac:dyDescent="0.35"/>
    <row r="4" spans="3:13" ht="28.2" customHeight="1" thickBot="1" x14ac:dyDescent="0.35">
      <c r="C4" s="46" t="s">
        <v>46</v>
      </c>
      <c r="D4" s="42" t="s">
        <v>47</v>
      </c>
      <c r="E4" s="43"/>
      <c r="F4" s="43"/>
      <c r="G4" s="43"/>
      <c r="H4" s="44"/>
      <c r="I4" s="57" t="s">
        <v>48</v>
      </c>
      <c r="J4" s="58"/>
      <c r="K4" s="58"/>
      <c r="L4" s="58"/>
      <c r="M4" s="59"/>
    </row>
    <row r="5" spans="3:13" ht="25.2" customHeight="1" thickBot="1" x14ac:dyDescent="0.35">
      <c r="C5" s="53"/>
      <c r="D5" s="48" t="s">
        <v>5</v>
      </c>
      <c r="E5" s="42" t="s">
        <v>49</v>
      </c>
      <c r="F5" s="43"/>
      <c r="G5" s="43"/>
      <c r="H5" s="44"/>
      <c r="I5" s="48" t="s">
        <v>5</v>
      </c>
      <c r="J5" s="42" t="s">
        <v>49</v>
      </c>
      <c r="K5" s="43"/>
      <c r="L5" s="43"/>
      <c r="M5" s="44"/>
    </row>
    <row r="6" spans="3:13" ht="53.4" customHeight="1" thickBot="1" x14ac:dyDescent="0.35">
      <c r="C6" s="47"/>
      <c r="D6" s="49"/>
      <c r="E6" s="20" t="s">
        <v>50</v>
      </c>
      <c r="F6" s="20" t="s">
        <v>51</v>
      </c>
      <c r="G6" s="20" t="s">
        <v>52</v>
      </c>
      <c r="H6" s="20" t="s">
        <v>53</v>
      </c>
      <c r="I6" s="49"/>
      <c r="J6" s="20" t="s">
        <v>50</v>
      </c>
      <c r="K6" s="20" t="s">
        <v>51</v>
      </c>
      <c r="L6" s="20" t="s">
        <v>52</v>
      </c>
      <c r="M6" s="20" t="s">
        <v>53</v>
      </c>
    </row>
    <row r="7" spans="3:13" ht="35.4" thickBot="1" x14ac:dyDescent="0.35">
      <c r="C7" s="25" t="s">
        <v>54</v>
      </c>
      <c r="D7" s="2">
        <v>26</v>
      </c>
      <c r="E7" s="2">
        <v>4</v>
      </c>
      <c r="F7" s="2">
        <v>12</v>
      </c>
      <c r="G7" s="2">
        <v>6</v>
      </c>
      <c r="H7" s="2">
        <v>6</v>
      </c>
      <c r="I7" s="2">
        <v>28</v>
      </c>
      <c r="J7" s="2">
        <v>3</v>
      </c>
      <c r="K7" s="2">
        <v>11</v>
      </c>
      <c r="L7" s="2">
        <v>12</v>
      </c>
      <c r="M7" s="2"/>
    </row>
    <row r="8" spans="3:13" ht="35.4" thickBot="1" x14ac:dyDescent="0.35">
      <c r="C8" s="25" t="s">
        <v>8</v>
      </c>
      <c r="D8" s="2">
        <v>25</v>
      </c>
      <c r="E8" s="2">
        <v>3</v>
      </c>
      <c r="F8" s="2">
        <v>10</v>
      </c>
      <c r="G8" s="2">
        <v>8</v>
      </c>
      <c r="H8" s="2">
        <v>4</v>
      </c>
      <c r="I8" s="2">
        <v>26</v>
      </c>
      <c r="J8" s="2">
        <v>2</v>
      </c>
      <c r="K8" s="2">
        <v>11</v>
      </c>
      <c r="L8" s="2">
        <v>13</v>
      </c>
      <c r="M8" s="2"/>
    </row>
    <row r="9" spans="3:13" ht="18.600000000000001" thickBot="1" x14ac:dyDescent="0.35">
      <c r="C9" s="25"/>
      <c r="D9" s="2">
        <f>D7+D8</f>
        <v>51</v>
      </c>
      <c r="E9" s="2">
        <f t="shared" ref="E9:L9" si="0">E7+E8</f>
        <v>7</v>
      </c>
      <c r="F9" s="2">
        <f t="shared" si="0"/>
        <v>22</v>
      </c>
      <c r="G9" s="2">
        <f t="shared" si="0"/>
        <v>14</v>
      </c>
      <c r="H9" s="2">
        <f t="shared" si="0"/>
        <v>10</v>
      </c>
      <c r="I9" s="2">
        <f t="shared" si="0"/>
        <v>54</v>
      </c>
      <c r="J9" s="2">
        <f t="shared" si="0"/>
        <v>5</v>
      </c>
      <c r="K9" s="2">
        <f t="shared" si="0"/>
        <v>22</v>
      </c>
      <c r="L9" s="2">
        <f t="shared" si="0"/>
        <v>25</v>
      </c>
      <c r="M9" s="2"/>
    </row>
  </sheetData>
  <mergeCells count="7">
    <mergeCell ref="C4:C6"/>
    <mergeCell ref="D4:H4"/>
    <mergeCell ref="I4:M4"/>
    <mergeCell ref="D5:D6"/>
    <mergeCell ref="E5:H5"/>
    <mergeCell ref="I5:I6"/>
    <mergeCell ref="J5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H6"/>
  <sheetViews>
    <sheetView topLeftCell="C1" workbookViewId="0">
      <selection activeCell="G8" sqref="G8"/>
    </sheetView>
  </sheetViews>
  <sheetFormatPr defaultRowHeight="14.4" x14ac:dyDescent="0.3"/>
  <cols>
    <col min="3" max="3" width="16.88671875" customWidth="1"/>
    <col min="4" max="4" width="17.77734375" customWidth="1"/>
    <col min="5" max="6" width="17.21875" customWidth="1"/>
    <col min="7" max="7" width="18.88671875" customWidth="1"/>
  </cols>
  <sheetData>
    <row r="2" spans="3:8" ht="18.600000000000001" thickBot="1" x14ac:dyDescent="0.35">
      <c r="C2" s="24" t="s">
        <v>57</v>
      </c>
    </row>
    <row r="3" spans="3:8" ht="18.600000000000001" thickBot="1" x14ac:dyDescent="0.35">
      <c r="C3" s="31" t="s">
        <v>58</v>
      </c>
      <c r="D3" s="32" t="s">
        <v>50</v>
      </c>
      <c r="E3" s="32" t="s">
        <v>51</v>
      </c>
      <c r="F3" s="32" t="s">
        <v>52</v>
      </c>
      <c r="G3" s="32" t="s">
        <v>53</v>
      </c>
      <c r="H3" s="32"/>
    </row>
    <row r="4" spans="3:8" ht="36.6" thickBot="1" x14ac:dyDescent="0.35">
      <c r="C4" s="33" t="s">
        <v>47</v>
      </c>
      <c r="D4" s="34"/>
      <c r="E4" s="34"/>
      <c r="F4" s="34"/>
      <c r="G4" s="34"/>
      <c r="H4" s="34"/>
    </row>
    <row r="5" spans="3:8" ht="36.6" thickBot="1" x14ac:dyDescent="0.35">
      <c r="C5" s="33" t="s">
        <v>59</v>
      </c>
      <c r="D5" s="34"/>
      <c r="E5" s="34"/>
      <c r="F5" s="34"/>
      <c r="G5" s="34"/>
      <c r="H5" s="34"/>
    </row>
    <row r="6" spans="3:8" ht="18.600000000000001" thickBot="1" x14ac:dyDescent="0.35">
      <c r="C6" s="33"/>
      <c r="D6" s="34"/>
      <c r="E6" s="34"/>
      <c r="F6" s="34"/>
      <c r="G6" s="34"/>
      <c r="H6" s="23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1278" r:id="rId3">
          <objectPr defaultSize="0" autoPict="0" r:id="rId4">
            <anchor moveWithCells="1" sizeWithCells="1">
              <from>
                <xdr:col>3</xdr:col>
                <xdr:colOff>0</xdr:colOff>
                <xdr:row>3</xdr:row>
                <xdr:rowOff>0</xdr:rowOff>
              </from>
              <to>
                <xdr:col>3</xdr:col>
                <xdr:colOff>487680</xdr:colOff>
                <xdr:row>3</xdr:row>
                <xdr:rowOff>220980</xdr:rowOff>
              </to>
            </anchor>
          </objectPr>
        </oleObject>
      </mc:Choice>
      <mc:Fallback>
        <oleObject progId="Equation.3" shapeId="11278" r:id="rId3"/>
      </mc:Fallback>
    </mc:AlternateContent>
    <mc:AlternateContent xmlns:mc="http://schemas.openxmlformats.org/markup-compatibility/2006">
      <mc:Choice Requires="x14">
        <oleObject progId="Equation.3" shapeId="11277" r:id="rId5">
          <objectPr defaultSize="0" autoPict="0" r:id="rId6">
            <anchor moveWithCells="1" siz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487680</xdr:colOff>
                <xdr:row>3</xdr:row>
                <xdr:rowOff>220980</xdr:rowOff>
              </to>
            </anchor>
          </objectPr>
        </oleObject>
      </mc:Choice>
      <mc:Fallback>
        <oleObject progId="Equation.3" shapeId="11277" r:id="rId5"/>
      </mc:Fallback>
    </mc:AlternateContent>
    <mc:AlternateContent xmlns:mc="http://schemas.openxmlformats.org/markup-compatibility/2006">
      <mc:Choice Requires="x14">
        <oleObject progId="Equation.3" shapeId="11276" r:id="rId7">
          <objectPr defaultSize="0" autoPict="0" r:id="rId8">
            <anchor moveWithCells="1" siz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541020</xdr:colOff>
                <xdr:row>3</xdr:row>
                <xdr:rowOff>228600</xdr:rowOff>
              </to>
            </anchor>
          </objectPr>
        </oleObject>
      </mc:Choice>
      <mc:Fallback>
        <oleObject progId="Equation.3" shapeId="11276" r:id="rId7"/>
      </mc:Fallback>
    </mc:AlternateContent>
    <mc:AlternateContent xmlns:mc="http://schemas.openxmlformats.org/markup-compatibility/2006">
      <mc:Choice Requires="x14">
        <oleObject progId="Equation.3" shapeId="11275" r:id="rId9">
          <objectPr defaultSize="0" autoPict="0" r:id="rId10">
            <anchor moveWithCells="1" siz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495300</xdr:colOff>
                <xdr:row>3</xdr:row>
                <xdr:rowOff>220980</xdr:rowOff>
              </to>
            </anchor>
          </objectPr>
        </oleObject>
      </mc:Choice>
      <mc:Fallback>
        <oleObject progId="Equation.3" shapeId="11275" r:id="rId9"/>
      </mc:Fallback>
    </mc:AlternateContent>
    <mc:AlternateContent xmlns:mc="http://schemas.openxmlformats.org/markup-compatibility/2006">
      <mc:Choice Requires="x14">
        <oleObject progId="Equation.3" shapeId="11274" r:id="rId11">
          <objectPr defaultSize="0" autoPict="0" r:id="rId12">
            <anchor moveWithCells="1" sizeWithCells="1">
              <from>
                <xdr:col>7</xdr:col>
                <xdr:colOff>0</xdr:colOff>
                <xdr:row>3</xdr:row>
                <xdr:rowOff>0</xdr:rowOff>
              </from>
              <to>
                <xdr:col>7</xdr:col>
                <xdr:colOff>480060</xdr:colOff>
                <xdr:row>3</xdr:row>
                <xdr:rowOff>220980</xdr:rowOff>
              </to>
            </anchor>
          </objectPr>
        </oleObject>
      </mc:Choice>
      <mc:Fallback>
        <oleObject progId="Equation.3" shapeId="11274" r:id="rId11"/>
      </mc:Fallback>
    </mc:AlternateContent>
    <mc:AlternateContent xmlns:mc="http://schemas.openxmlformats.org/markup-compatibility/2006">
      <mc:Choice Requires="x14">
        <oleObject progId="Equation.3" shapeId="11273" r:id="rId13">
          <objectPr defaultSize="0" autoPict="0" r:id="rId14">
            <anchor moveWithCells="1" sizeWithCells="1">
              <from>
                <xdr:col>3</xdr:col>
                <xdr:colOff>0</xdr:colOff>
                <xdr:row>4</xdr:row>
                <xdr:rowOff>0</xdr:rowOff>
              </from>
              <to>
                <xdr:col>3</xdr:col>
                <xdr:colOff>480060</xdr:colOff>
                <xdr:row>4</xdr:row>
                <xdr:rowOff>220980</xdr:rowOff>
              </to>
            </anchor>
          </objectPr>
        </oleObject>
      </mc:Choice>
      <mc:Fallback>
        <oleObject progId="Equation.3" shapeId="11273" r:id="rId13"/>
      </mc:Fallback>
    </mc:AlternateContent>
    <mc:AlternateContent xmlns:mc="http://schemas.openxmlformats.org/markup-compatibility/2006">
      <mc:Choice Requires="x14">
        <oleObject progId="Equation.3" shapeId="11272" r:id="rId15">
          <objectPr defaultSize="0" autoPict="0" r:id="rId16">
            <anchor moveWithCells="1" sizeWithCells="1">
              <from>
                <xdr:col>4</xdr:col>
                <xdr:colOff>0</xdr:colOff>
                <xdr:row>4</xdr:row>
                <xdr:rowOff>0</xdr:rowOff>
              </from>
              <to>
                <xdr:col>4</xdr:col>
                <xdr:colOff>502920</xdr:colOff>
                <xdr:row>4</xdr:row>
                <xdr:rowOff>220980</xdr:rowOff>
              </to>
            </anchor>
          </objectPr>
        </oleObject>
      </mc:Choice>
      <mc:Fallback>
        <oleObject progId="Equation.3" shapeId="11272" r:id="rId15"/>
      </mc:Fallback>
    </mc:AlternateContent>
    <mc:AlternateContent xmlns:mc="http://schemas.openxmlformats.org/markup-compatibility/2006">
      <mc:Choice Requires="x14">
        <oleObject progId="Equation.3" shapeId="11271" r:id="rId17">
          <objectPr defaultSize="0" autoPict="0" r:id="rId18">
            <anchor moveWithCells="1" sizeWithCells="1">
              <from>
                <xdr:col>5</xdr:col>
                <xdr:colOff>0</xdr:colOff>
                <xdr:row>4</xdr:row>
                <xdr:rowOff>0</xdr:rowOff>
              </from>
              <to>
                <xdr:col>5</xdr:col>
                <xdr:colOff>563880</xdr:colOff>
                <xdr:row>4</xdr:row>
                <xdr:rowOff>228600</xdr:rowOff>
              </to>
            </anchor>
          </objectPr>
        </oleObject>
      </mc:Choice>
      <mc:Fallback>
        <oleObject progId="Equation.3" shapeId="11271" r:id="rId17"/>
      </mc:Fallback>
    </mc:AlternateContent>
    <mc:AlternateContent xmlns:mc="http://schemas.openxmlformats.org/markup-compatibility/2006">
      <mc:Choice Requires="x14">
        <oleObject progId="Equation.3" shapeId="11270" r:id="rId19">
          <objectPr defaultSize="0" autoPict="0" r:id="rId20">
            <anchor moveWithCells="1" sizeWithCells="1">
              <from>
                <xdr:col>6</xdr:col>
                <xdr:colOff>0</xdr:colOff>
                <xdr:row>4</xdr:row>
                <xdr:rowOff>0</xdr:rowOff>
              </from>
              <to>
                <xdr:col>6</xdr:col>
                <xdr:colOff>563880</xdr:colOff>
                <xdr:row>4</xdr:row>
                <xdr:rowOff>220980</xdr:rowOff>
              </to>
            </anchor>
          </objectPr>
        </oleObject>
      </mc:Choice>
      <mc:Fallback>
        <oleObject progId="Equation.3" shapeId="11270" r:id="rId19"/>
      </mc:Fallback>
    </mc:AlternateContent>
    <mc:AlternateContent xmlns:mc="http://schemas.openxmlformats.org/markup-compatibility/2006">
      <mc:Choice Requires="x14">
        <oleObject progId="Equation.3" shapeId="11269" r:id="rId21">
          <objectPr defaultSize="0" autoPict="0" r:id="rId22">
            <anchor moveWithCells="1" sizeWithCells="1">
              <from>
                <xdr:col>7</xdr:col>
                <xdr:colOff>0</xdr:colOff>
                <xdr:row>4</xdr:row>
                <xdr:rowOff>0</xdr:rowOff>
              </from>
              <to>
                <xdr:col>7</xdr:col>
                <xdr:colOff>487680</xdr:colOff>
                <xdr:row>4</xdr:row>
                <xdr:rowOff>220980</xdr:rowOff>
              </to>
            </anchor>
          </objectPr>
        </oleObject>
      </mc:Choice>
      <mc:Fallback>
        <oleObject progId="Equation.3" shapeId="11269" r:id="rId21"/>
      </mc:Fallback>
    </mc:AlternateContent>
    <mc:AlternateContent xmlns:mc="http://schemas.openxmlformats.org/markup-compatibility/2006">
      <mc:Choice Requires="x14">
        <oleObject progId="Equation.3" shapeId="11268" r:id="rId23">
          <objectPr defaultSize="0" autoPict="0" r:id="rId24">
            <anchor moveWithCells="1" sizeWithCells="1">
              <from>
                <xdr:col>3</xdr:col>
                <xdr:colOff>0</xdr:colOff>
                <xdr:row>5</xdr:row>
                <xdr:rowOff>30480</xdr:rowOff>
              </from>
              <to>
                <xdr:col>3</xdr:col>
                <xdr:colOff>1196340</xdr:colOff>
                <xdr:row>5</xdr:row>
                <xdr:rowOff>213360</xdr:rowOff>
              </to>
            </anchor>
          </objectPr>
        </oleObject>
      </mc:Choice>
      <mc:Fallback>
        <oleObject progId="Equation.3" shapeId="11268" r:id="rId23"/>
      </mc:Fallback>
    </mc:AlternateContent>
    <mc:AlternateContent xmlns:mc="http://schemas.openxmlformats.org/markup-compatibility/2006">
      <mc:Choice Requires="x14">
        <oleObject progId="Equation.3" shapeId="11267" r:id="rId25">
          <objectPr defaultSize="0" autoPict="0" r:id="rId26">
            <anchor moveWithCells="1" sizeWithCells="1">
              <from>
                <xdr:col>4</xdr:col>
                <xdr:colOff>0</xdr:colOff>
                <xdr:row>5</xdr:row>
                <xdr:rowOff>53340</xdr:rowOff>
              </from>
              <to>
                <xdr:col>4</xdr:col>
                <xdr:colOff>1150620</xdr:colOff>
                <xdr:row>5</xdr:row>
                <xdr:rowOff>220980</xdr:rowOff>
              </to>
            </anchor>
          </objectPr>
        </oleObject>
      </mc:Choice>
      <mc:Fallback>
        <oleObject progId="Equation.3" shapeId="11267" r:id="rId25"/>
      </mc:Fallback>
    </mc:AlternateContent>
    <mc:AlternateContent xmlns:mc="http://schemas.openxmlformats.org/markup-compatibility/2006">
      <mc:Choice Requires="x14">
        <oleObject progId="Equation.3" shapeId="11266" r:id="rId27">
          <objectPr defaultSize="0" autoPict="0" r:id="rId28">
            <anchor moveWithCells="1" sizeWithCells="1">
              <from>
                <xdr:col>5</xdr:col>
                <xdr:colOff>0</xdr:colOff>
                <xdr:row>5</xdr:row>
                <xdr:rowOff>53340</xdr:rowOff>
              </from>
              <to>
                <xdr:col>5</xdr:col>
                <xdr:colOff>1158240</xdr:colOff>
                <xdr:row>5</xdr:row>
                <xdr:rowOff>228600</xdr:rowOff>
              </to>
            </anchor>
          </objectPr>
        </oleObject>
      </mc:Choice>
      <mc:Fallback>
        <oleObject progId="Equation.3" shapeId="11266" r:id="rId27"/>
      </mc:Fallback>
    </mc:AlternateContent>
    <mc:AlternateContent xmlns:mc="http://schemas.openxmlformats.org/markup-compatibility/2006">
      <mc:Choice Requires="x14">
        <oleObject progId="Equation.3" shapeId="11265" r:id="rId29">
          <objectPr defaultSize="0" autoPict="0" r:id="rId30">
            <anchor moveWithCells="1" sizeWithCells="1">
              <from>
                <xdr:col>6</xdr:col>
                <xdr:colOff>0</xdr:colOff>
                <xdr:row>5</xdr:row>
                <xdr:rowOff>45720</xdr:rowOff>
              </from>
              <to>
                <xdr:col>6</xdr:col>
                <xdr:colOff>1264920</xdr:colOff>
                <xdr:row>5</xdr:row>
                <xdr:rowOff>220980</xdr:rowOff>
              </to>
            </anchor>
          </objectPr>
        </oleObject>
      </mc:Choice>
      <mc:Fallback>
        <oleObject progId="Equation.3" shapeId="11265" r:id="rId29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4"/>
  <sheetViews>
    <sheetView workbookViewId="0">
      <selection activeCell="C17" sqref="C17"/>
    </sheetView>
  </sheetViews>
  <sheetFormatPr defaultRowHeight="14.4" x14ac:dyDescent="0.3"/>
  <cols>
    <col min="3" max="3" width="18.33203125" customWidth="1"/>
  </cols>
  <sheetData>
    <row r="2" spans="2:15" ht="18" x14ac:dyDescent="0.3">
      <c r="B2" s="35" t="s">
        <v>60</v>
      </c>
      <c r="C2" s="35"/>
      <c r="D2" s="35"/>
      <c r="E2" s="35"/>
      <c r="F2" s="35"/>
      <c r="G2" s="35"/>
      <c r="H2" s="35"/>
      <c r="I2" s="35"/>
      <c r="J2" s="35"/>
    </row>
    <row r="3" spans="2:15" ht="15" thickBot="1" x14ac:dyDescent="0.35"/>
    <row r="4" spans="2:15" ht="32.4" customHeight="1" thickBot="1" x14ac:dyDescent="0.35">
      <c r="C4" s="60" t="s">
        <v>46</v>
      </c>
      <c r="D4" s="62" t="s">
        <v>61</v>
      </c>
      <c r="E4" s="43"/>
      <c r="F4" s="43"/>
      <c r="G4" s="63"/>
      <c r="H4" s="64" t="s">
        <v>62</v>
      </c>
      <c r="I4" s="58"/>
      <c r="J4" s="58"/>
      <c r="K4" s="65"/>
      <c r="L4" s="66" t="s">
        <v>63</v>
      </c>
      <c r="M4" s="68" t="s">
        <v>64</v>
      </c>
      <c r="N4" s="70" t="s">
        <v>65</v>
      </c>
      <c r="O4" s="70" t="s">
        <v>66</v>
      </c>
    </row>
    <row r="5" spans="2:15" ht="73.2" customHeight="1" thickBot="1" x14ac:dyDescent="0.35">
      <c r="C5" s="61"/>
      <c r="D5" s="20" t="s">
        <v>50</v>
      </c>
      <c r="E5" s="20" t="s">
        <v>51</v>
      </c>
      <c r="F5" s="20" t="s">
        <v>52</v>
      </c>
      <c r="G5" s="36" t="s">
        <v>53</v>
      </c>
      <c r="H5" s="20" t="s">
        <v>50</v>
      </c>
      <c r="I5" s="20" t="s">
        <v>51</v>
      </c>
      <c r="J5" s="20" t="s">
        <v>52</v>
      </c>
      <c r="K5" s="36" t="s">
        <v>53</v>
      </c>
      <c r="L5" s="67"/>
      <c r="M5" s="69"/>
      <c r="N5" s="71"/>
      <c r="O5" s="71"/>
    </row>
    <row r="6" spans="2:15" ht="18.600000000000001" thickBot="1" x14ac:dyDescent="0.35">
      <c r="C6" s="42" t="s">
        <v>67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4"/>
    </row>
    <row r="7" spans="2:15" ht="21" thickBot="1" x14ac:dyDescent="0.35">
      <c r="C7" s="37" t="s">
        <v>54</v>
      </c>
      <c r="D7" s="23">
        <v>2</v>
      </c>
      <c r="E7" s="23">
        <v>8</v>
      </c>
      <c r="F7" s="23">
        <v>10</v>
      </c>
      <c r="G7" s="38">
        <v>6</v>
      </c>
      <c r="H7" s="23">
        <v>1</v>
      </c>
      <c r="I7" s="23">
        <v>7</v>
      </c>
      <c r="J7" s="23">
        <v>10</v>
      </c>
      <c r="K7" s="38">
        <v>10</v>
      </c>
      <c r="L7" s="23">
        <v>26</v>
      </c>
      <c r="M7" s="23">
        <v>28</v>
      </c>
      <c r="N7" s="23">
        <v>1.33</v>
      </c>
      <c r="O7" s="23" t="s">
        <v>68</v>
      </c>
    </row>
    <row r="8" spans="2:15" ht="21" thickBot="1" x14ac:dyDescent="0.35">
      <c r="C8" s="37" t="s">
        <v>8</v>
      </c>
      <c r="D8" s="23">
        <v>2</v>
      </c>
      <c r="E8" s="23">
        <v>7</v>
      </c>
      <c r="F8" s="23">
        <v>8</v>
      </c>
      <c r="G8" s="38">
        <v>8</v>
      </c>
      <c r="H8" s="23">
        <v>2</v>
      </c>
      <c r="I8" s="23">
        <v>5</v>
      </c>
      <c r="J8" s="23">
        <v>10</v>
      </c>
      <c r="K8" s="38">
        <v>9</v>
      </c>
      <c r="L8" s="23">
        <v>25</v>
      </c>
      <c r="M8" s="23">
        <v>26</v>
      </c>
      <c r="N8" s="23">
        <v>0.6</v>
      </c>
      <c r="O8" s="23" t="s">
        <v>68</v>
      </c>
    </row>
    <row r="9" spans="2:15" ht="18.600000000000001" thickBot="1" x14ac:dyDescent="0.35">
      <c r="C9" s="42" t="s">
        <v>9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4"/>
    </row>
    <row r="10" spans="2:15" ht="21" thickBot="1" x14ac:dyDescent="0.35">
      <c r="C10" s="37" t="s">
        <v>54</v>
      </c>
      <c r="D10" s="23">
        <v>2</v>
      </c>
      <c r="E10" s="23">
        <v>8</v>
      </c>
      <c r="F10" s="23">
        <v>10</v>
      </c>
      <c r="G10" s="38">
        <v>6</v>
      </c>
      <c r="H10" s="23">
        <v>1</v>
      </c>
      <c r="I10" s="23">
        <v>7</v>
      </c>
      <c r="J10" s="23">
        <v>10</v>
      </c>
      <c r="K10" s="38">
        <v>10</v>
      </c>
      <c r="L10" s="23">
        <v>26</v>
      </c>
      <c r="M10" s="23">
        <v>28</v>
      </c>
      <c r="N10" s="23">
        <v>1.33</v>
      </c>
      <c r="O10" s="23" t="s">
        <v>68</v>
      </c>
    </row>
    <row r="11" spans="2:15" ht="21" thickBot="1" x14ac:dyDescent="0.35">
      <c r="C11" s="37" t="s">
        <v>8</v>
      </c>
      <c r="D11" s="23">
        <v>2</v>
      </c>
      <c r="E11" s="23">
        <v>7</v>
      </c>
      <c r="F11" s="23">
        <v>8</v>
      </c>
      <c r="G11" s="38">
        <v>8</v>
      </c>
      <c r="H11" s="23">
        <v>2</v>
      </c>
      <c r="I11" s="23">
        <v>5</v>
      </c>
      <c r="J11" s="23">
        <v>10</v>
      </c>
      <c r="K11" s="38">
        <v>9</v>
      </c>
      <c r="L11" s="23">
        <v>25</v>
      </c>
      <c r="M11" s="23">
        <v>26</v>
      </c>
      <c r="N11" s="23">
        <v>0.6</v>
      </c>
      <c r="O11" s="23" t="s">
        <v>68</v>
      </c>
    </row>
    <row r="12" spans="2:15" ht="18.600000000000001" thickBot="1" x14ac:dyDescent="0.35">
      <c r="C12" s="42" t="s">
        <v>10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4"/>
    </row>
    <row r="13" spans="2:15" ht="21" thickBot="1" x14ac:dyDescent="0.35">
      <c r="C13" s="37" t="s">
        <v>54</v>
      </c>
      <c r="D13" s="23">
        <v>2</v>
      </c>
      <c r="E13" s="23">
        <v>8</v>
      </c>
      <c r="F13" s="23">
        <v>10</v>
      </c>
      <c r="G13" s="38">
        <v>6</v>
      </c>
      <c r="H13" s="23">
        <v>1</v>
      </c>
      <c r="I13" s="23">
        <v>7</v>
      </c>
      <c r="J13" s="23">
        <v>10</v>
      </c>
      <c r="K13" s="38">
        <v>10</v>
      </c>
      <c r="L13" s="23">
        <v>26</v>
      </c>
      <c r="M13" s="23">
        <v>28</v>
      </c>
      <c r="N13" s="23">
        <v>1.33</v>
      </c>
      <c r="O13" s="23" t="s">
        <v>69</v>
      </c>
    </row>
    <row r="14" spans="2:15" ht="21" thickBot="1" x14ac:dyDescent="0.35">
      <c r="C14" s="37" t="s">
        <v>8</v>
      </c>
      <c r="D14" s="23">
        <v>2</v>
      </c>
      <c r="E14" s="23">
        <v>7</v>
      </c>
      <c r="F14" s="23">
        <v>8</v>
      </c>
      <c r="G14" s="38">
        <v>8</v>
      </c>
      <c r="H14" s="23">
        <v>2</v>
      </c>
      <c r="I14" s="23">
        <v>5</v>
      </c>
      <c r="J14" s="23">
        <v>10</v>
      </c>
      <c r="K14" s="38">
        <v>9</v>
      </c>
      <c r="L14" s="23">
        <v>25</v>
      </c>
      <c r="M14" s="23">
        <v>26</v>
      </c>
      <c r="N14" s="23">
        <v>0.6</v>
      </c>
      <c r="O14" s="23" t="s">
        <v>69</v>
      </c>
    </row>
  </sheetData>
  <mergeCells count="10">
    <mergeCell ref="C12:O12"/>
    <mergeCell ref="C4:C5"/>
    <mergeCell ref="D4:G4"/>
    <mergeCell ref="H4:K4"/>
    <mergeCell ref="L4:L5"/>
    <mergeCell ref="M4:M5"/>
    <mergeCell ref="N4:N5"/>
    <mergeCell ref="O4:O5"/>
    <mergeCell ref="C6:O6"/>
    <mergeCell ref="C9:O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27"/>
  <sheetViews>
    <sheetView topLeftCell="A7" zoomScale="70" zoomScaleNormal="70" workbookViewId="0">
      <selection activeCell="T28" sqref="T28"/>
    </sheetView>
  </sheetViews>
  <sheetFormatPr defaultRowHeight="14.4" x14ac:dyDescent="0.3"/>
  <cols>
    <col min="2" max="2" width="5.109375" customWidth="1"/>
    <col min="3" max="3" width="16.5546875" customWidth="1"/>
  </cols>
  <sheetData>
    <row r="3" spans="3:17" ht="18" x14ac:dyDescent="0.3">
      <c r="D3" s="78" t="s">
        <v>70</v>
      </c>
      <c r="E3" s="78"/>
      <c r="F3" s="78"/>
      <c r="G3" s="78"/>
      <c r="H3" s="78"/>
      <c r="I3" s="78"/>
      <c r="J3" s="78"/>
      <c r="K3" s="78"/>
    </row>
    <row r="4" spans="3:17" ht="15" thickBot="1" x14ac:dyDescent="0.35"/>
    <row r="5" spans="3:17" ht="47.4" customHeight="1" thickBot="1" x14ac:dyDescent="0.35">
      <c r="C5" s="74"/>
      <c r="D5" s="74" t="s">
        <v>46</v>
      </c>
      <c r="E5" s="76"/>
      <c r="F5" s="62" t="s">
        <v>71</v>
      </c>
      <c r="G5" s="43"/>
      <c r="H5" s="43"/>
      <c r="I5" s="63"/>
      <c r="J5" s="64" t="s">
        <v>62</v>
      </c>
      <c r="K5" s="58"/>
      <c r="L5" s="58"/>
      <c r="M5" s="65"/>
      <c r="N5" s="66" t="s">
        <v>63</v>
      </c>
      <c r="O5" s="68" t="s">
        <v>64</v>
      </c>
      <c r="P5" s="70" t="s">
        <v>65</v>
      </c>
      <c r="Q5" s="70" t="s">
        <v>66</v>
      </c>
    </row>
    <row r="6" spans="3:17" ht="82.8" customHeight="1" thickBot="1" x14ac:dyDescent="0.35">
      <c r="C6" s="75"/>
      <c r="D6" s="75"/>
      <c r="E6" s="77"/>
      <c r="F6" s="20" t="s">
        <v>50</v>
      </c>
      <c r="G6" s="20" t="s">
        <v>51</v>
      </c>
      <c r="H6" s="20" t="s">
        <v>52</v>
      </c>
      <c r="I6" s="36" t="s">
        <v>53</v>
      </c>
      <c r="J6" s="20" t="s">
        <v>50</v>
      </c>
      <c r="K6" s="20" t="s">
        <v>51</v>
      </c>
      <c r="L6" s="20" t="s">
        <v>52</v>
      </c>
      <c r="M6" s="36" t="s">
        <v>53</v>
      </c>
      <c r="N6" s="67"/>
      <c r="O6" s="69"/>
      <c r="P6" s="71"/>
      <c r="Q6" s="71"/>
    </row>
    <row r="7" spans="3:17" ht="21" thickBot="1" x14ac:dyDescent="0.35">
      <c r="C7" s="41" t="s">
        <v>67</v>
      </c>
      <c r="D7" s="72" t="s">
        <v>54</v>
      </c>
      <c r="E7" s="73"/>
      <c r="F7" s="2">
        <v>16</v>
      </c>
      <c r="G7" s="2">
        <v>9</v>
      </c>
      <c r="H7" s="2">
        <v>5</v>
      </c>
      <c r="I7" s="39">
        <v>1</v>
      </c>
      <c r="J7" s="2">
        <v>3</v>
      </c>
      <c r="K7" s="2">
        <v>6</v>
      </c>
      <c r="L7" s="2">
        <v>12</v>
      </c>
      <c r="M7" s="39">
        <v>8</v>
      </c>
      <c r="N7" s="2">
        <v>31</v>
      </c>
      <c r="O7" s="2">
        <v>29</v>
      </c>
      <c r="P7" s="2">
        <v>1.43</v>
      </c>
      <c r="Q7" s="2" t="s">
        <v>69</v>
      </c>
    </row>
    <row r="8" spans="3:17" ht="21" thickBot="1" x14ac:dyDescent="0.35">
      <c r="C8" s="41" t="s">
        <v>67</v>
      </c>
      <c r="D8" s="72" t="s">
        <v>8</v>
      </c>
      <c r="E8" s="73"/>
      <c r="F8" s="2">
        <v>17</v>
      </c>
      <c r="G8" s="2">
        <v>10</v>
      </c>
      <c r="H8" s="2">
        <v>5</v>
      </c>
      <c r="I8" s="39">
        <v>2</v>
      </c>
      <c r="J8" s="2">
        <v>3</v>
      </c>
      <c r="K8" s="2">
        <v>6</v>
      </c>
      <c r="L8" s="2">
        <v>13</v>
      </c>
      <c r="M8" s="39">
        <v>10</v>
      </c>
      <c r="N8" s="2">
        <v>34</v>
      </c>
      <c r="O8" s="2">
        <v>32</v>
      </c>
      <c r="P8" s="2">
        <v>1.452</v>
      </c>
      <c r="Q8" s="2" t="s">
        <v>69</v>
      </c>
    </row>
    <row r="9" spans="3:17" ht="21" thickBot="1" x14ac:dyDescent="0.35">
      <c r="C9" s="41" t="s">
        <v>9</v>
      </c>
      <c r="D9" s="72" t="s">
        <v>54</v>
      </c>
      <c r="E9" s="73"/>
      <c r="F9" s="2">
        <v>15</v>
      </c>
      <c r="G9" s="2">
        <v>9</v>
      </c>
      <c r="H9" s="2">
        <v>3</v>
      </c>
      <c r="I9" s="39">
        <v>2</v>
      </c>
      <c r="J9" s="2">
        <v>3</v>
      </c>
      <c r="K9" s="2">
        <v>8</v>
      </c>
      <c r="L9" s="2">
        <v>11</v>
      </c>
      <c r="M9" s="39">
        <v>10</v>
      </c>
      <c r="N9" s="2">
        <v>29</v>
      </c>
      <c r="O9" s="2">
        <v>32</v>
      </c>
      <c r="P9" s="2">
        <v>1.4330000000000001</v>
      </c>
      <c r="Q9" s="2" t="s">
        <v>69</v>
      </c>
    </row>
    <row r="10" spans="3:17" ht="21" thickBot="1" x14ac:dyDescent="0.35">
      <c r="C10" s="41" t="s">
        <v>9</v>
      </c>
      <c r="D10" s="72" t="s">
        <v>8</v>
      </c>
      <c r="E10" s="73"/>
      <c r="F10" s="2">
        <v>18</v>
      </c>
      <c r="G10" s="2">
        <v>10</v>
      </c>
      <c r="H10" s="2">
        <v>6</v>
      </c>
      <c r="I10" s="39">
        <v>2</v>
      </c>
      <c r="J10" s="2">
        <v>4</v>
      </c>
      <c r="K10" s="2">
        <v>7</v>
      </c>
      <c r="L10" s="2">
        <v>14</v>
      </c>
      <c r="M10" s="39">
        <v>11</v>
      </c>
      <c r="N10" s="2">
        <v>33</v>
      </c>
      <c r="O10" s="2">
        <v>36</v>
      </c>
      <c r="P10" s="2">
        <v>1.421</v>
      </c>
      <c r="Q10" s="2" t="s">
        <v>69</v>
      </c>
    </row>
    <row r="11" spans="3:17" ht="21" thickBot="1" x14ac:dyDescent="0.35">
      <c r="C11" s="41" t="s">
        <v>10</v>
      </c>
      <c r="D11" s="72" t="s">
        <v>54</v>
      </c>
      <c r="E11" s="73"/>
      <c r="F11" s="2">
        <v>15</v>
      </c>
      <c r="G11" s="2">
        <v>11</v>
      </c>
      <c r="H11" s="2">
        <v>4</v>
      </c>
      <c r="I11" s="39">
        <v>2</v>
      </c>
      <c r="J11" s="2">
        <v>3</v>
      </c>
      <c r="K11" s="2">
        <v>9</v>
      </c>
      <c r="L11" s="2">
        <v>11</v>
      </c>
      <c r="M11" s="39">
        <v>7</v>
      </c>
      <c r="N11" s="2">
        <v>32</v>
      </c>
      <c r="O11" s="2">
        <v>30</v>
      </c>
      <c r="P11" s="2">
        <v>1.3360000000000001</v>
      </c>
      <c r="Q11" s="2" t="s">
        <v>69</v>
      </c>
    </row>
    <row r="12" spans="3:17" ht="21" thickBot="1" x14ac:dyDescent="0.35">
      <c r="C12" s="41" t="s">
        <v>10</v>
      </c>
      <c r="D12" s="72" t="s">
        <v>8</v>
      </c>
      <c r="E12" s="73"/>
      <c r="F12" s="2">
        <v>16</v>
      </c>
      <c r="G12" s="2">
        <v>11</v>
      </c>
      <c r="H12" s="2">
        <v>5</v>
      </c>
      <c r="I12" s="39">
        <v>1</v>
      </c>
      <c r="J12" s="2">
        <v>3</v>
      </c>
      <c r="K12" s="2">
        <v>7</v>
      </c>
      <c r="L12" s="2">
        <v>12</v>
      </c>
      <c r="M12" s="39">
        <v>7</v>
      </c>
      <c r="N12" s="2">
        <v>33</v>
      </c>
      <c r="O12" s="2">
        <v>29</v>
      </c>
      <c r="P12" s="2">
        <v>1.3859999999999999</v>
      </c>
      <c r="Q12" s="2" t="s">
        <v>69</v>
      </c>
    </row>
    <row r="15" spans="3:17" ht="15" thickBot="1" x14ac:dyDescent="0.35"/>
    <row r="16" spans="3:17" ht="18.600000000000001" thickBot="1" x14ac:dyDescent="0.35">
      <c r="C16" s="74"/>
      <c r="D16" s="74" t="s">
        <v>46</v>
      </c>
      <c r="E16" s="76"/>
      <c r="F16" s="62" t="s">
        <v>71</v>
      </c>
      <c r="G16" s="43"/>
      <c r="H16" s="43"/>
      <c r="I16" s="63"/>
      <c r="J16" s="64" t="s">
        <v>62</v>
      </c>
      <c r="K16" s="58"/>
      <c r="L16" s="58"/>
      <c r="M16" s="65"/>
    </row>
    <row r="17" spans="3:13" ht="74.400000000000006" customHeight="1" thickBot="1" x14ac:dyDescent="0.35">
      <c r="C17" s="75"/>
      <c r="D17" s="75"/>
      <c r="E17" s="77"/>
      <c r="F17" s="20" t="s">
        <v>50</v>
      </c>
      <c r="G17" s="20" t="s">
        <v>51</v>
      </c>
      <c r="H17" s="20" t="s">
        <v>52</v>
      </c>
      <c r="I17" s="36" t="s">
        <v>53</v>
      </c>
      <c r="J17" s="20" t="s">
        <v>50</v>
      </c>
      <c r="K17" s="20" t="s">
        <v>51</v>
      </c>
      <c r="L17" s="20" t="s">
        <v>52</v>
      </c>
      <c r="M17" s="36" t="s">
        <v>53</v>
      </c>
    </row>
    <row r="18" spans="3:13" ht="18.600000000000001" thickBot="1" x14ac:dyDescent="0.35">
      <c r="C18" s="41" t="s">
        <v>67</v>
      </c>
      <c r="D18" s="72" t="s">
        <v>54</v>
      </c>
      <c r="E18" s="73"/>
      <c r="F18" s="2">
        <v>16</v>
      </c>
      <c r="G18" s="2">
        <v>9</v>
      </c>
      <c r="H18" s="2">
        <v>5</v>
      </c>
      <c r="I18" s="39">
        <v>1</v>
      </c>
      <c r="J18" s="2">
        <v>3</v>
      </c>
      <c r="K18" s="2">
        <v>6</v>
      </c>
      <c r="L18" s="2">
        <v>12</v>
      </c>
      <c r="M18" s="39">
        <v>8</v>
      </c>
    </row>
    <row r="19" spans="3:13" ht="18.600000000000001" thickBot="1" x14ac:dyDescent="0.35">
      <c r="C19" s="41" t="s">
        <v>9</v>
      </c>
      <c r="D19" s="72" t="s">
        <v>54</v>
      </c>
      <c r="E19" s="73"/>
      <c r="F19" s="2">
        <v>15</v>
      </c>
      <c r="G19" s="2">
        <v>9</v>
      </c>
      <c r="H19" s="2">
        <v>3</v>
      </c>
      <c r="I19" s="39">
        <v>2</v>
      </c>
      <c r="J19" s="2">
        <v>3</v>
      </c>
      <c r="K19" s="2">
        <v>8</v>
      </c>
      <c r="L19" s="2">
        <v>11</v>
      </c>
      <c r="M19" s="39">
        <v>10</v>
      </c>
    </row>
    <row r="20" spans="3:13" ht="18.600000000000001" thickBot="1" x14ac:dyDescent="0.35">
      <c r="C20" s="41" t="s">
        <v>10</v>
      </c>
      <c r="D20" s="72" t="s">
        <v>54</v>
      </c>
      <c r="E20" s="73"/>
      <c r="F20" s="2">
        <v>15</v>
      </c>
      <c r="G20" s="2">
        <v>11</v>
      </c>
      <c r="H20" s="2">
        <v>4</v>
      </c>
      <c r="I20" s="39">
        <v>2</v>
      </c>
      <c r="J20" s="2">
        <v>3</v>
      </c>
      <c r="K20" s="2">
        <v>9</v>
      </c>
      <c r="L20" s="2">
        <v>11</v>
      </c>
      <c r="M20" s="39">
        <v>7</v>
      </c>
    </row>
    <row r="22" spans="3:13" ht="15" thickBot="1" x14ac:dyDescent="0.35"/>
    <row r="23" spans="3:13" ht="18.600000000000001" thickBot="1" x14ac:dyDescent="0.35">
      <c r="C23" s="74"/>
      <c r="D23" s="74" t="s">
        <v>46</v>
      </c>
      <c r="E23" s="76"/>
      <c r="F23" s="62" t="s">
        <v>71</v>
      </c>
      <c r="G23" s="43"/>
      <c r="H23" s="43"/>
      <c r="I23" s="63"/>
      <c r="J23" s="64" t="s">
        <v>62</v>
      </c>
      <c r="K23" s="58"/>
      <c r="L23" s="58"/>
      <c r="M23" s="65"/>
    </row>
    <row r="24" spans="3:13" ht="58.8" customHeight="1" thickBot="1" x14ac:dyDescent="0.35">
      <c r="C24" s="75"/>
      <c r="D24" s="75"/>
      <c r="E24" s="77"/>
      <c r="F24" s="20" t="s">
        <v>50</v>
      </c>
      <c r="G24" s="20" t="s">
        <v>51</v>
      </c>
      <c r="H24" s="20" t="s">
        <v>52</v>
      </c>
      <c r="I24" s="36" t="s">
        <v>53</v>
      </c>
      <c r="J24" s="20" t="s">
        <v>50</v>
      </c>
      <c r="K24" s="20" t="s">
        <v>51</v>
      </c>
      <c r="L24" s="20" t="s">
        <v>52</v>
      </c>
      <c r="M24" s="36" t="s">
        <v>53</v>
      </c>
    </row>
    <row r="25" spans="3:13" ht="18.600000000000001" thickBot="1" x14ac:dyDescent="0.35">
      <c r="C25" s="41" t="s">
        <v>67</v>
      </c>
      <c r="D25" s="72" t="s">
        <v>8</v>
      </c>
      <c r="E25" s="73"/>
      <c r="F25" s="2">
        <v>17</v>
      </c>
      <c r="G25" s="2">
        <v>10</v>
      </c>
      <c r="H25" s="2">
        <v>5</v>
      </c>
      <c r="I25" s="39">
        <v>2</v>
      </c>
      <c r="J25" s="2">
        <v>3</v>
      </c>
      <c r="K25" s="2">
        <v>6</v>
      </c>
      <c r="L25" s="2">
        <v>13</v>
      </c>
      <c r="M25" s="39">
        <v>10</v>
      </c>
    </row>
    <row r="26" spans="3:13" ht="18.600000000000001" thickBot="1" x14ac:dyDescent="0.35">
      <c r="C26" s="41" t="s">
        <v>9</v>
      </c>
      <c r="D26" s="72" t="s">
        <v>8</v>
      </c>
      <c r="E26" s="73"/>
      <c r="F26" s="2">
        <v>18</v>
      </c>
      <c r="G26" s="2">
        <v>10</v>
      </c>
      <c r="H26" s="2">
        <v>6</v>
      </c>
      <c r="I26" s="39">
        <v>2</v>
      </c>
      <c r="J26" s="2">
        <v>4</v>
      </c>
      <c r="K26" s="2">
        <v>7</v>
      </c>
      <c r="L26" s="2">
        <v>14</v>
      </c>
      <c r="M26" s="39">
        <v>11</v>
      </c>
    </row>
    <row r="27" spans="3:13" ht="18.600000000000001" thickBot="1" x14ac:dyDescent="0.35">
      <c r="C27" s="41" t="s">
        <v>10</v>
      </c>
      <c r="D27" s="72" t="s">
        <v>8</v>
      </c>
      <c r="E27" s="73"/>
      <c r="F27" s="2">
        <v>16</v>
      </c>
      <c r="G27" s="2">
        <v>11</v>
      </c>
      <c r="H27" s="2">
        <v>5</v>
      </c>
      <c r="I27" s="39">
        <v>1</v>
      </c>
      <c r="J27" s="2">
        <v>3</v>
      </c>
      <c r="K27" s="2">
        <v>7</v>
      </c>
      <c r="L27" s="2">
        <v>12</v>
      </c>
      <c r="M27" s="39">
        <v>7</v>
      </c>
    </row>
  </sheetData>
  <mergeCells count="29">
    <mergeCell ref="Q5:Q6"/>
    <mergeCell ref="D7:E7"/>
    <mergeCell ref="D8:E8"/>
    <mergeCell ref="D3:K3"/>
    <mergeCell ref="D5:E6"/>
    <mergeCell ref="F5:I5"/>
    <mergeCell ref="J5:M5"/>
    <mergeCell ref="O5:O6"/>
    <mergeCell ref="P5:P6"/>
    <mergeCell ref="N5:N6"/>
    <mergeCell ref="J16:M16"/>
    <mergeCell ref="D18:E18"/>
    <mergeCell ref="D11:E11"/>
    <mergeCell ref="D12:E12"/>
    <mergeCell ref="C5:C6"/>
    <mergeCell ref="D9:E9"/>
    <mergeCell ref="D10:E10"/>
    <mergeCell ref="C23:C24"/>
    <mergeCell ref="D23:E24"/>
    <mergeCell ref="F23:I23"/>
    <mergeCell ref="C16:C17"/>
    <mergeCell ref="D16:E17"/>
    <mergeCell ref="F16:I16"/>
    <mergeCell ref="D27:E27"/>
    <mergeCell ref="J23:M23"/>
    <mergeCell ref="D25:E25"/>
    <mergeCell ref="D26:E26"/>
    <mergeCell ref="D19:E19"/>
    <mergeCell ref="D20:E20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6"/>
  <sheetViews>
    <sheetView workbookViewId="0">
      <selection activeCell="D4" sqref="D4:G16"/>
    </sheetView>
  </sheetViews>
  <sheetFormatPr defaultRowHeight="14.4" x14ac:dyDescent="0.3"/>
  <cols>
    <col min="4" max="4" width="13.44140625" customWidth="1"/>
    <col min="5" max="5" width="18.77734375" customWidth="1"/>
    <col min="6" max="6" width="17.6640625" customWidth="1"/>
    <col min="7" max="7" width="15" customWidth="1"/>
  </cols>
  <sheetData>
    <row r="2" spans="4:7" ht="36" x14ac:dyDescent="0.3">
      <c r="D2" s="24" t="s">
        <v>72</v>
      </c>
    </row>
    <row r="3" spans="4:7" ht="15" thickBot="1" x14ac:dyDescent="0.35"/>
    <row r="4" spans="4:7" ht="90.6" thickBot="1" x14ac:dyDescent="0.35">
      <c r="D4" s="40" t="s">
        <v>46</v>
      </c>
      <c r="E4" s="6" t="s">
        <v>73</v>
      </c>
      <c r="F4" s="6" t="s">
        <v>74</v>
      </c>
      <c r="G4" s="6" t="s">
        <v>75</v>
      </c>
    </row>
    <row r="5" spans="4:7" ht="18.600000000000001" thickBot="1" x14ac:dyDescent="0.35">
      <c r="D5" s="42" t="s">
        <v>67</v>
      </c>
      <c r="E5" s="43"/>
      <c r="F5" s="43"/>
      <c r="G5" s="44"/>
    </row>
    <row r="6" spans="4:7" ht="18.600000000000001" thickBot="1" x14ac:dyDescent="0.35">
      <c r="D6" s="25" t="s">
        <v>54</v>
      </c>
      <c r="E6" s="2">
        <v>76.11</v>
      </c>
      <c r="F6" s="2">
        <v>67.14</v>
      </c>
      <c r="G6" s="2">
        <v>1.1299999999999999</v>
      </c>
    </row>
    <row r="7" spans="4:7" ht="18.600000000000001" thickBot="1" x14ac:dyDescent="0.35">
      <c r="D7" s="25" t="s">
        <v>7</v>
      </c>
      <c r="E7" s="2">
        <v>74.64</v>
      </c>
      <c r="F7" s="2">
        <v>65.42</v>
      </c>
      <c r="G7" s="2">
        <v>1.1399999999999999</v>
      </c>
    </row>
    <row r="8" spans="4:7" ht="18.600000000000001" thickBot="1" x14ac:dyDescent="0.35">
      <c r="D8" s="25" t="s">
        <v>8</v>
      </c>
      <c r="E8" s="2">
        <v>75.39</v>
      </c>
      <c r="F8" s="2">
        <v>66.31</v>
      </c>
      <c r="G8" s="2">
        <v>1.1399999999999999</v>
      </c>
    </row>
    <row r="9" spans="4:7" ht="18.600000000000001" thickBot="1" x14ac:dyDescent="0.35">
      <c r="D9" s="42" t="s">
        <v>9</v>
      </c>
      <c r="E9" s="43"/>
      <c r="F9" s="43"/>
      <c r="G9" s="44"/>
    </row>
    <row r="10" spans="4:7" ht="18.600000000000001" thickBot="1" x14ac:dyDescent="0.35">
      <c r="D10" s="25" t="s">
        <v>54</v>
      </c>
      <c r="E10" s="2">
        <v>76.11</v>
      </c>
      <c r="F10" s="2">
        <v>67.14</v>
      </c>
      <c r="G10" s="2">
        <v>1.1299999999999999</v>
      </c>
    </row>
    <row r="11" spans="4:7" ht="18.600000000000001" thickBot="1" x14ac:dyDescent="0.35">
      <c r="D11" s="25" t="s">
        <v>7</v>
      </c>
      <c r="E11" s="2">
        <v>74.64</v>
      </c>
      <c r="F11" s="2">
        <v>65.42</v>
      </c>
      <c r="G11" s="2">
        <v>1.1399999999999999</v>
      </c>
    </row>
    <row r="12" spans="4:7" ht="18.600000000000001" thickBot="1" x14ac:dyDescent="0.35">
      <c r="D12" s="25" t="s">
        <v>8</v>
      </c>
      <c r="E12" s="2">
        <v>75.39</v>
      </c>
      <c r="F12" s="2">
        <v>66.31</v>
      </c>
      <c r="G12" s="2">
        <v>1.1399999999999999</v>
      </c>
    </row>
    <row r="13" spans="4:7" ht="18.600000000000001" thickBot="1" x14ac:dyDescent="0.35">
      <c r="D13" s="42" t="s">
        <v>10</v>
      </c>
      <c r="E13" s="43"/>
      <c r="F13" s="43"/>
      <c r="G13" s="44"/>
    </row>
    <row r="14" spans="4:7" ht="18.600000000000001" thickBot="1" x14ac:dyDescent="0.35">
      <c r="D14" s="25" t="s">
        <v>54</v>
      </c>
      <c r="E14" s="2">
        <v>76.11</v>
      </c>
      <c r="F14" s="2">
        <v>67.14</v>
      </c>
      <c r="G14" s="2">
        <v>1.1299999999999999</v>
      </c>
    </row>
    <row r="15" spans="4:7" ht="18.600000000000001" thickBot="1" x14ac:dyDescent="0.35">
      <c r="D15" s="25" t="s">
        <v>7</v>
      </c>
      <c r="E15" s="2">
        <v>74.64</v>
      </c>
      <c r="F15" s="2">
        <v>65.42</v>
      </c>
      <c r="G15" s="2">
        <v>1.1399999999999999</v>
      </c>
    </row>
    <row r="16" spans="4:7" ht="18.600000000000001" thickBot="1" x14ac:dyDescent="0.35">
      <c r="D16" s="25" t="s">
        <v>8</v>
      </c>
      <c r="E16" s="2">
        <v>75.39</v>
      </c>
      <c r="F16" s="2">
        <v>66.31</v>
      </c>
      <c r="G16" s="2">
        <v>1.1399999999999999</v>
      </c>
    </row>
  </sheetData>
  <mergeCells count="3">
    <mergeCell ref="D5:G5"/>
    <mergeCell ref="D9:G9"/>
    <mergeCell ref="D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2025-08-10T07:41:11Z</dcterms:created>
  <dcterms:modified xsi:type="dcterms:W3CDTF">2025-08-15T19:01:37Z</dcterms:modified>
</cp:coreProperties>
</file>